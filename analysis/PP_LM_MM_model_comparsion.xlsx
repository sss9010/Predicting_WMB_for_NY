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im Sepp\NY_WMB\"/>
    </mc:Choice>
  </mc:AlternateContent>
  <xr:revisionPtr revIDLastSave="0" documentId="13_ncr:1_{17004F2D-07F7-4430-9063-304814BB8CD1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Sheet1" sheetId="1" r:id="rId1"/>
  </sheets>
  <definedNames>
    <definedName name="_xlnm._FilterDatabase" localSheetId="0" hidden="1">Sheet1!$A$1:$H$88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9" i="1"/>
  <c r="H7" i="1"/>
  <c r="H8" i="1"/>
  <c r="H10" i="1"/>
  <c r="H11" i="1"/>
  <c r="H12" i="1"/>
  <c r="H13" i="1"/>
  <c r="H14" i="1"/>
  <c r="H15" i="1"/>
  <c r="H16" i="1"/>
  <c r="H19" i="1"/>
  <c r="H17" i="1"/>
  <c r="H18" i="1"/>
  <c r="H20" i="1"/>
  <c r="H21" i="1"/>
  <c r="H22" i="1"/>
  <c r="H23" i="1"/>
  <c r="H25" i="1"/>
  <c r="H24" i="1"/>
  <c r="H26" i="1"/>
  <c r="H27" i="1"/>
  <c r="H28" i="1"/>
  <c r="H29" i="1"/>
  <c r="H30" i="1"/>
  <c r="H31" i="1"/>
  <c r="H32" i="1"/>
  <c r="H36" i="1"/>
  <c r="H33" i="1"/>
  <c r="H34" i="1"/>
  <c r="H35" i="1"/>
  <c r="H37" i="1"/>
  <c r="H40" i="1"/>
  <c r="H41" i="1"/>
  <c r="H38" i="1"/>
  <c r="H39" i="1"/>
  <c r="H45" i="1"/>
  <c r="H43" i="1"/>
  <c r="H46" i="1"/>
  <c r="H44" i="1"/>
  <c r="H42" i="1"/>
  <c r="H47" i="1"/>
  <c r="H49" i="1"/>
  <c r="H51" i="1"/>
  <c r="H52" i="1"/>
  <c r="H48" i="1"/>
  <c r="H50" i="1"/>
  <c r="H55" i="1"/>
  <c r="H53" i="1"/>
  <c r="H57" i="1"/>
  <c r="H56" i="1"/>
  <c r="H54" i="1"/>
  <c r="H58" i="1"/>
  <c r="H59" i="1"/>
  <c r="H60" i="1"/>
  <c r="H67" i="1"/>
  <c r="H68" i="1"/>
  <c r="H70" i="1"/>
  <c r="H66" i="1"/>
  <c r="H69" i="1"/>
  <c r="H77" i="1"/>
  <c r="H78" i="1"/>
  <c r="H79" i="1"/>
  <c r="H80" i="1"/>
  <c r="H81" i="1"/>
  <c r="H82" i="1"/>
  <c r="H61" i="1"/>
  <c r="H62" i="1"/>
  <c r="H63" i="1"/>
  <c r="H65" i="1"/>
  <c r="H64" i="1"/>
  <c r="H71" i="1"/>
  <c r="H72" i="1"/>
  <c r="H73" i="1"/>
  <c r="H74" i="1"/>
  <c r="H75" i="1"/>
  <c r="H76" i="1"/>
  <c r="H87" i="1"/>
  <c r="H84" i="1"/>
  <c r="H88" i="1"/>
  <c r="H86" i="1"/>
  <c r="H83" i="1"/>
  <c r="H85" i="1"/>
  <c r="G3" i="1"/>
  <c r="G4" i="1"/>
  <c r="G5" i="1"/>
  <c r="G6" i="1"/>
  <c r="G9" i="1"/>
  <c r="G7" i="1"/>
  <c r="G8" i="1"/>
  <c r="G10" i="1"/>
  <c r="G11" i="1"/>
  <c r="G12" i="1"/>
  <c r="G13" i="1"/>
  <c r="G14" i="1"/>
  <c r="G15" i="1"/>
  <c r="G16" i="1"/>
  <c r="G19" i="1"/>
  <c r="G17" i="1"/>
  <c r="G18" i="1"/>
  <c r="G20" i="1"/>
  <c r="G21" i="1"/>
  <c r="G22" i="1"/>
  <c r="G23" i="1"/>
  <c r="G25" i="1"/>
  <c r="G24" i="1"/>
  <c r="G26" i="1"/>
  <c r="G27" i="1"/>
  <c r="G28" i="1"/>
  <c r="G29" i="1"/>
  <c r="G30" i="1"/>
  <c r="G31" i="1"/>
  <c r="G32" i="1"/>
  <c r="G36" i="1"/>
  <c r="G33" i="1"/>
  <c r="G34" i="1"/>
  <c r="G35" i="1"/>
  <c r="G37" i="1"/>
  <c r="G40" i="1"/>
  <c r="G41" i="1"/>
  <c r="G38" i="1"/>
  <c r="G39" i="1"/>
  <c r="G45" i="1"/>
  <c r="G43" i="1"/>
  <c r="G46" i="1"/>
  <c r="G44" i="1"/>
  <c r="G42" i="1"/>
  <c r="G47" i="1"/>
  <c r="G49" i="1"/>
  <c r="G51" i="1"/>
  <c r="G52" i="1"/>
  <c r="G48" i="1"/>
  <c r="G50" i="1"/>
  <c r="G55" i="1"/>
  <c r="G53" i="1"/>
  <c r="G57" i="1"/>
  <c r="G56" i="1"/>
  <c r="G54" i="1"/>
  <c r="G58" i="1"/>
  <c r="G59" i="1"/>
  <c r="G60" i="1"/>
  <c r="G67" i="1"/>
  <c r="G68" i="1"/>
  <c r="G70" i="1"/>
  <c r="G66" i="1"/>
  <c r="G69" i="1"/>
  <c r="G77" i="1"/>
  <c r="G78" i="1"/>
  <c r="G79" i="1"/>
  <c r="G80" i="1"/>
  <c r="G81" i="1"/>
  <c r="G82" i="1"/>
  <c r="G61" i="1"/>
  <c r="G62" i="1"/>
  <c r="G63" i="1"/>
  <c r="G65" i="1"/>
  <c r="G64" i="1"/>
  <c r="G71" i="1"/>
  <c r="G72" i="1"/>
  <c r="G73" i="1"/>
  <c r="G74" i="1"/>
  <c r="G75" i="1"/>
  <c r="G76" i="1"/>
  <c r="G87" i="1"/>
  <c r="G84" i="1"/>
  <c r="G88" i="1"/>
  <c r="G86" i="1"/>
  <c r="G83" i="1"/>
  <c r="G85" i="1"/>
  <c r="H2" i="1"/>
  <c r="G2" i="1"/>
  <c r="F3" i="1"/>
  <c r="F4" i="1"/>
  <c r="F5" i="1"/>
  <c r="F6" i="1"/>
  <c r="F9" i="1"/>
  <c r="F7" i="1"/>
  <c r="F8" i="1"/>
  <c r="F10" i="1"/>
  <c r="F11" i="1"/>
  <c r="F12" i="1"/>
  <c r="F13" i="1"/>
  <c r="F14" i="1"/>
  <c r="F15" i="1"/>
  <c r="F16" i="1"/>
  <c r="F19" i="1"/>
  <c r="F17" i="1"/>
  <c r="F18" i="1"/>
  <c r="F20" i="1"/>
  <c r="F21" i="1"/>
  <c r="F22" i="1"/>
  <c r="F23" i="1"/>
  <c r="F25" i="1"/>
  <c r="F24" i="1"/>
  <c r="F26" i="1"/>
  <c r="F27" i="1"/>
  <c r="F28" i="1"/>
  <c r="F29" i="1"/>
  <c r="F30" i="1"/>
  <c r="F31" i="1"/>
  <c r="F32" i="1"/>
  <c r="F36" i="1"/>
  <c r="F33" i="1"/>
  <c r="F34" i="1"/>
  <c r="F35" i="1"/>
  <c r="F37" i="1"/>
  <c r="F40" i="1"/>
  <c r="F41" i="1"/>
  <c r="F38" i="1"/>
  <c r="F39" i="1"/>
  <c r="F45" i="1"/>
  <c r="F43" i="1"/>
  <c r="F46" i="1"/>
  <c r="F44" i="1"/>
  <c r="F42" i="1"/>
  <c r="F47" i="1"/>
  <c r="F49" i="1"/>
  <c r="F51" i="1"/>
  <c r="F52" i="1"/>
  <c r="F48" i="1"/>
  <c r="F50" i="1"/>
  <c r="F55" i="1"/>
  <c r="F53" i="1"/>
  <c r="F57" i="1"/>
  <c r="F56" i="1"/>
  <c r="F54" i="1"/>
  <c r="F58" i="1"/>
  <c r="F59" i="1"/>
  <c r="F60" i="1"/>
  <c r="F67" i="1"/>
  <c r="F68" i="1"/>
  <c r="F70" i="1"/>
  <c r="F66" i="1"/>
  <c r="F69" i="1"/>
  <c r="F77" i="1"/>
  <c r="F78" i="1"/>
  <c r="F79" i="1"/>
  <c r="F80" i="1"/>
  <c r="F81" i="1"/>
  <c r="F82" i="1"/>
  <c r="F61" i="1"/>
  <c r="F62" i="1"/>
  <c r="F63" i="1"/>
  <c r="F65" i="1"/>
  <c r="F64" i="1"/>
  <c r="F71" i="1"/>
  <c r="F72" i="1"/>
  <c r="F73" i="1"/>
  <c r="F74" i="1"/>
  <c r="F75" i="1"/>
  <c r="F76" i="1"/>
  <c r="F87" i="1"/>
  <c r="F84" i="1"/>
  <c r="F88" i="1"/>
  <c r="F86" i="1"/>
  <c r="F83" i="1"/>
  <c r="F85" i="1"/>
  <c r="F2" i="1"/>
</calcChain>
</file>

<file path=xl/sharedStrings.xml><?xml version="1.0" encoding="utf-8"?>
<sst xmlns="http://schemas.openxmlformats.org/spreadsheetml/2006/main" count="179" uniqueCount="36">
  <si>
    <t>Trait</t>
  </si>
  <si>
    <t>met</t>
  </si>
  <si>
    <t>mean_accuracy</t>
  </si>
  <si>
    <t>sd_accuracy</t>
  </si>
  <si>
    <t>n</t>
  </si>
  <si>
    <t>AdjunctOverallRank</t>
  </si>
  <si>
    <t>LM_mq_raw</t>
  </si>
  <si>
    <t>MM_mq_raw_comb</t>
  </si>
  <si>
    <t>MM_mq_raw_sel</t>
  </si>
  <si>
    <t>AdjunctQualityScore</t>
  </si>
  <si>
    <t>MM_mq_pred_comb</t>
  </si>
  <si>
    <t>MM_mq_pred_sel</t>
  </si>
  <si>
    <t>All_MaltOverallRank</t>
  </si>
  <si>
    <t>All_MaltQualityScore</t>
  </si>
  <si>
    <t>Alpha.amylase.20.DU.</t>
  </si>
  <si>
    <t>BarleyColor.Agtron.</t>
  </si>
  <si>
    <t>BarleyProtein...</t>
  </si>
  <si>
    <t>Beta.glucan.ppm.</t>
  </si>
  <si>
    <t>DP..ASBC.</t>
  </si>
  <si>
    <t>FAN.ppm.</t>
  </si>
  <si>
    <t>HD_JD</t>
  </si>
  <si>
    <t>LM_ag_pred</t>
  </si>
  <si>
    <t>LM_ag_raw</t>
  </si>
  <si>
    <t>MM_ag_pred_comb</t>
  </si>
  <si>
    <t>MM_ag_pred_sel</t>
  </si>
  <si>
    <t>MM_ag_raw_comb</t>
  </si>
  <si>
    <t>MM_ag_raw_sel</t>
  </si>
  <si>
    <t>Ht</t>
  </si>
  <si>
    <t>KernelWeight.mg.</t>
  </si>
  <si>
    <t>MaltExtract...</t>
  </si>
  <si>
    <t>S.T</t>
  </si>
  <si>
    <t>WortClarity</t>
  </si>
  <si>
    <t>WortProtein...</t>
  </si>
  <si>
    <t>on6.64....</t>
  </si>
  <si>
    <t>winter_survival</t>
  </si>
  <si>
    <t>yield_kgha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</si>
</sst>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>
      <selection sqref="A1:XFD1"/>
    </sheetView>
  </sheetViews>
  <sheetFormatPr defaultRowHeight="14.5" x14ac:dyDescent="0.35"/>
  <cols>
    <col min="1" max="1" width="19.36328125" bestFit="1" customWidth="1"/>
    <col min="2" max="2" width="18.7265625" bestFit="1" customWidth="1"/>
    <col min="3" max="3" width="13.81640625" style="3" bestFit="1" customWidth="1"/>
    <col min="4" max="4" width="10.90625" style="3" bestFit="1" customWidth="1"/>
  </cols>
  <sheetData>
    <row r="1" spans="1:8" s="1" customFormat="1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>
        <v>2</v>
      </c>
      <c r="G1" s="1">
        <v>5</v>
      </c>
      <c r="H1" s="1">
        <v>10</v>
      </c>
    </row>
    <row r="2" spans="1:8" x14ac:dyDescent="0.35">
      <c r="A2" s="6" t="s">
        <v>5</v>
      </c>
      <c r="B2" t="s">
        <v>6</v>
      </c>
      <c r="C2" s="3">
        <v>0.16568373330606601</v>
      </c>
      <c r="D2" s="3">
        <v>0.2240689975507455</v>
      </c>
      <c r="E2">
        <v>5500</v>
      </c>
      <c r="F2" t="b">
        <f>(ABS(C2)/2)&lt;D2</f>
        <v>1</v>
      </c>
      <c r="G2" t="b">
        <f>(ABS(C2)/5)&lt;D2</f>
        <v>1</v>
      </c>
      <c r="H2" t="b">
        <f>(ABS(C2)/10)&lt;D2</f>
        <v>1</v>
      </c>
    </row>
    <row r="3" spans="1:8" x14ac:dyDescent="0.35">
      <c r="A3" s="6" t="s">
        <v>5</v>
      </c>
      <c r="B3" t="s">
        <v>7</v>
      </c>
      <c r="C3" s="5">
        <v>0.1415545960563511</v>
      </c>
      <c r="D3" s="5">
        <v>9.257475835182763E-2</v>
      </c>
      <c r="E3">
        <v>100</v>
      </c>
      <c r="F3" t="b">
        <f>(ABS(C3)/2)&lt;D3</f>
        <v>1</v>
      </c>
      <c r="G3" t="b">
        <f>(ABS(C3)/5)&lt;D3</f>
        <v>1</v>
      </c>
      <c r="H3" t="b">
        <f>(ABS(C3)/10)&lt;D3</f>
        <v>1</v>
      </c>
    </row>
    <row r="4" spans="1:8" x14ac:dyDescent="0.35">
      <c r="A4" s="6" t="s">
        <v>5</v>
      </c>
      <c r="B4" t="s">
        <v>8</v>
      </c>
      <c r="C4" s="5">
        <v>0.11087771638291841</v>
      </c>
      <c r="D4" s="5">
        <v>4.4752660514672638E-2</v>
      </c>
      <c r="E4">
        <v>100</v>
      </c>
      <c r="F4" t="b">
        <f>(ABS(C4)/2)&lt;D4</f>
        <v>0</v>
      </c>
      <c r="G4" t="b">
        <f>(ABS(C4)/5)&lt;D4</f>
        <v>1</v>
      </c>
      <c r="H4" t="b">
        <f>(ABS(C4)/10)&lt;D4</f>
        <v>1</v>
      </c>
    </row>
    <row r="5" spans="1:8" x14ac:dyDescent="0.35">
      <c r="A5" s="6" t="s">
        <v>9</v>
      </c>
      <c r="B5" t="s">
        <v>6</v>
      </c>
      <c r="C5" s="3">
        <v>0.1235145788023832</v>
      </c>
      <c r="D5" s="3">
        <v>0.22593241867534741</v>
      </c>
      <c r="E5">
        <v>5500</v>
      </c>
      <c r="F5" t="b">
        <f>(ABS(C5)/2)&lt;D5</f>
        <v>1</v>
      </c>
      <c r="G5" t="b">
        <f>(ABS(C5)/5)&lt;D5</f>
        <v>1</v>
      </c>
      <c r="H5" t="b">
        <f>(ABS(C5)/10)&lt;D5</f>
        <v>1</v>
      </c>
    </row>
    <row r="6" spans="1:8" x14ac:dyDescent="0.35">
      <c r="A6" s="6" t="s">
        <v>9</v>
      </c>
      <c r="B6" t="s">
        <v>10</v>
      </c>
      <c r="C6" s="3">
        <v>8.3260557664730492E-2</v>
      </c>
      <c r="D6" s="3">
        <v>6.8680486171047689E-2</v>
      </c>
      <c r="E6">
        <v>50</v>
      </c>
      <c r="F6" t="b">
        <f>(ABS(C6)/2)&lt;D6</f>
        <v>1</v>
      </c>
      <c r="G6" t="b">
        <f>(ABS(C6)/5)&lt;D6</f>
        <v>1</v>
      </c>
      <c r="H6" t="b">
        <f>(ABS(C6)/10)&lt;D6</f>
        <v>1</v>
      </c>
    </row>
    <row r="7" spans="1:8" x14ac:dyDescent="0.35">
      <c r="A7" s="6" t="s">
        <v>9</v>
      </c>
      <c r="B7" t="s">
        <v>7</v>
      </c>
      <c r="C7" s="3">
        <v>7.8839458796377118E-2</v>
      </c>
      <c r="D7" s="3">
        <v>0.1764975218623227</v>
      </c>
      <c r="E7">
        <v>100</v>
      </c>
      <c r="F7" t="b">
        <f>(ABS(C7)/2)&lt;D7</f>
        <v>1</v>
      </c>
      <c r="G7" t="b">
        <f>(ABS(C7)/5)&lt;D7</f>
        <v>1</v>
      </c>
      <c r="H7" t="b">
        <f>(ABS(C7)/10)&lt;D7</f>
        <v>1</v>
      </c>
    </row>
    <row r="8" spans="1:8" x14ac:dyDescent="0.35">
      <c r="A8" s="6" t="s">
        <v>9</v>
      </c>
      <c r="B8" t="s">
        <v>8</v>
      </c>
      <c r="C8" s="3">
        <v>5.8256439245768808E-2</v>
      </c>
      <c r="D8" s="3">
        <v>6.4328343221945999E-2</v>
      </c>
      <c r="E8">
        <v>100</v>
      </c>
      <c r="F8" t="b">
        <f>(ABS(C8)/2)&lt;D8</f>
        <v>1</v>
      </c>
      <c r="G8" t="b">
        <f>(ABS(C8)/5)&lt;D8</f>
        <v>1</v>
      </c>
      <c r="H8" t="b">
        <f>(ABS(C8)/10)&lt;D8</f>
        <v>1</v>
      </c>
    </row>
    <row r="9" spans="1:8" x14ac:dyDescent="0.35">
      <c r="A9" s="6" t="s">
        <v>9</v>
      </c>
      <c r="B9" t="s">
        <v>11</v>
      </c>
      <c r="C9" s="5">
        <v>0.19894434219803431</v>
      </c>
      <c r="D9" s="5">
        <v>3.003477453182846E-2</v>
      </c>
      <c r="E9">
        <v>50</v>
      </c>
      <c r="F9" t="b">
        <f>(ABS(C9)/2)&lt;D9</f>
        <v>0</v>
      </c>
      <c r="G9" t="b">
        <f>(ABS(C9)/5)&lt;D9</f>
        <v>0</v>
      </c>
      <c r="H9" t="b">
        <f>(ABS(C9)/10)&lt;D9</f>
        <v>1</v>
      </c>
    </row>
    <row r="10" spans="1:8" x14ac:dyDescent="0.35">
      <c r="A10" s="6" t="s">
        <v>12</v>
      </c>
      <c r="B10" t="s">
        <v>6</v>
      </c>
      <c r="C10" s="3">
        <v>0.12964058162883199</v>
      </c>
      <c r="D10" s="3">
        <v>0.26783637199572402</v>
      </c>
      <c r="E10">
        <v>5500</v>
      </c>
      <c r="F10" t="b">
        <f>(ABS(C10)/2)&lt;D10</f>
        <v>1</v>
      </c>
      <c r="G10" t="b">
        <f>(ABS(C10)/5)&lt;D10</f>
        <v>1</v>
      </c>
      <c r="H10" t="b">
        <f>(ABS(C10)/10)&lt;D10</f>
        <v>1</v>
      </c>
    </row>
    <row r="11" spans="1:8" x14ac:dyDescent="0.35">
      <c r="A11" s="6" t="s">
        <v>12</v>
      </c>
      <c r="B11" t="s">
        <v>10</v>
      </c>
      <c r="C11" s="3">
        <v>-6.0003750767008819E-2</v>
      </c>
      <c r="D11" s="3">
        <v>9.2375380167888904E-2</v>
      </c>
      <c r="E11">
        <v>50</v>
      </c>
      <c r="F11" t="b">
        <f>(ABS(C11)/2)&lt;D11</f>
        <v>1</v>
      </c>
      <c r="G11" t="b">
        <f>(ABS(C11)/5)&lt;D11</f>
        <v>1</v>
      </c>
      <c r="H11" t="b">
        <f>(ABS(C11)/10)&lt;D11</f>
        <v>1</v>
      </c>
    </row>
    <row r="12" spans="1:8" x14ac:dyDescent="0.35">
      <c r="A12" s="6" t="s">
        <v>12</v>
      </c>
      <c r="B12" t="s">
        <v>11</v>
      </c>
      <c r="C12" s="3">
        <v>-8.9578757632932757E-2</v>
      </c>
      <c r="D12" s="3">
        <v>9.0816084925185392E-2</v>
      </c>
      <c r="E12">
        <v>50</v>
      </c>
      <c r="F12" t="b">
        <f>(ABS(C12)/2)&lt;D12</f>
        <v>1</v>
      </c>
      <c r="G12" t="b">
        <f>(ABS(C12)/5)&lt;D12</f>
        <v>1</v>
      </c>
      <c r="H12" t="b">
        <f>(ABS(C12)/10)&lt;D12</f>
        <v>1</v>
      </c>
    </row>
    <row r="13" spans="1:8" x14ac:dyDescent="0.35">
      <c r="A13" s="6" t="s">
        <v>12</v>
      </c>
      <c r="B13" t="s">
        <v>7</v>
      </c>
      <c r="C13" s="3">
        <v>0.18550669915555629</v>
      </c>
      <c r="D13" s="3">
        <v>0.13843750227128909</v>
      </c>
      <c r="E13">
        <v>100</v>
      </c>
      <c r="F13" t="b">
        <f>(ABS(C13)/2)&lt;D13</f>
        <v>1</v>
      </c>
      <c r="G13" t="b">
        <f>(ABS(C13)/5)&lt;D13</f>
        <v>1</v>
      </c>
      <c r="H13" t="b">
        <f>(ABS(C13)/10)&lt;D13</f>
        <v>1</v>
      </c>
    </row>
    <row r="14" spans="1:8" x14ac:dyDescent="0.35">
      <c r="A14" s="6" t="s">
        <v>12</v>
      </c>
      <c r="B14" t="s">
        <v>8</v>
      </c>
      <c r="C14" s="3">
        <v>0.202840730542097</v>
      </c>
      <c r="D14" s="3">
        <v>0.19294269553628501</v>
      </c>
      <c r="E14">
        <v>100</v>
      </c>
      <c r="F14" t="b">
        <f>(ABS(C14)/2)&lt;D14</f>
        <v>1</v>
      </c>
      <c r="G14" t="b">
        <f>(ABS(C14)/5)&lt;D14</f>
        <v>1</v>
      </c>
      <c r="H14" t="b">
        <f>(ABS(C14)/10)&lt;D14</f>
        <v>1</v>
      </c>
    </row>
    <row r="15" spans="1:8" x14ac:dyDescent="0.35">
      <c r="A15" s="6" t="s">
        <v>13</v>
      </c>
      <c r="B15" t="s">
        <v>6</v>
      </c>
      <c r="C15" s="3">
        <v>0.14012799909125079</v>
      </c>
      <c r="D15" s="3">
        <v>0.26519613581368068</v>
      </c>
      <c r="E15">
        <v>5500</v>
      </c>
      <c r="F15" t="b">
        <f>(ABS(C15)/2)&lt;D15</f>
        <v>1</v>
      </c>
      <c r="G15" t="b">
        <f>(ABS(C15)/5)&lt;D15</f>
        <v>1</v>
      </c>
      <c r="H15" t="b">
        <f>(ABS(C15)/10)&lt;D15</f>
        <v>1</v>
      </c>
    </row>
    <row r="16" spans="1:8" x14ac:dyDescent="0.35">
      <c r="A16" s="6" t="s">
        <v>13</v>
      </c>
      <c r="B16" t="s">
        <v>10</v>
      </c>
      <c r="C16" s="3">
        <v>5.1872800042793869E-2</v>
      </c>
      <c r="D16" s="3">
        <v>8.813929920803254E-2</v>
      </c>
      <c r="E16">
        <v>50</v>
      </c>
      <c r="F16" t="b">
        <f>(ABS(C16)/2)&lt;D16</f>
        <v>1</v>
      </c>
      <c r="G16" t="b">
        <f>(ABS(C16)/5)&lt;D16</f>
        <v>1</v>
      </c>
      <c r="H16" t="b">
        <f>(ABS(C16)/10)&lt;D16</f>
        <v>1</v>
      </c>
    </row>
    <row r="17" spans="1:8" x14ac:dyDescent="0.35">
      <c r="A17" s="6" t="s">
        <v>13</v>
      </c>
      <c r="B17" t="s">
        <v>7</v>
      </c>
      <c r="C17" s="3">
        <v>0.13086725436511329</v>
      </c>
      <c r="D17" s="3">
        <v>8.3111833777178998E-2</v>
      </c>
      <c r="E17">
        <v>100</v>
      </c>
      <c r="F17" t="b">
        <f>(ABS(C17)/2)&lt;D17</f>
        <v>1</v>
      </c>
      <c r="G17" t="b">
        <f>(ABS(C17)/5)&lt;D17</f>
        <v>1</v>
      </c>
      <c r="H17" t="b">
        <f>(ABS(C17)/10)&lt;D17</f>
        <v>1</v>
      </c>
    </row>
    <row r="18" spans="1:8" x14ac:dyDescent="0.35">
      <c r="A18" s="6" t="s">
        <v>13</v>
      </c>
      <c r="B18" t="s">
        <v>8</v>
      </c>
      <c r="C18" s="3">
        <v>0.12988118514523281</v>
      </c>
      <c r="D18" s="3">
        <v>0.11947315261942031</v>
      </c>
      <c r="E18">
        <v>100</v>
      </c>
      <c r="F18" t="b">
        <f>(ABS(C18)/2)&lt;D18</f>
        <v>1</v>
      </c>
      <c r="G18" t="b">
        <f>(ABS(C18)/5)&lt;D18</f>
        <v>1</v>
      </c>
      <c r="H18" t="b">
        <f>(ABS(C18)/10)&lt;D18</f>
        <v>1</v>
      </c>
    </row>
    <row r="19" spans="1:8" x14ac:dyDescent="0.35">
      <c r="A19" s="6" t="s">
        <v>13</v>
      </c>
      <c r="B19" t="s">
        <v>11</v>
      </c>
      <c r="C19" s="3">
        <v>-0.17823595635064129</v>
      </c>
      <c r="D19" s="3">
        <v>7.6127977565253982E-2</v>
      </c>
      <c r="E19">
        <v>50</v>
      </c>
      <c r="F19" t="b">
        <f>(ABS(C19)/2)&lt;D19</f>
        <v>0</v>
      </c>
      <c r="G19" t="b">
        <f>(ABS(C19)/5)&lt;D19</f>
        <v>1</v>
      </c>
      <c r="H19" t="b">
        <f>(ABS(C19)/10)&lt;D19</f>
        <v>1</v>
      </c>
    </row>
    <row r="20" spans="1:8" x14ac:dyDescent="0.35">
      <c r="A20" s="6" t="s">
        <v>14</v>
      </c>
      <c r="B20" t="s">
        <v>6</v>
      </c>
      <c r="C20" s="3">
        <v>3.7389165291749377E-2</v>
      </c>
      <c r="D20" s="3">
        <v>0.24094301942396759</v>
      </c>
      <c r="E20">
        <v>5500</v>
      </c>
      <c r="F20" t="b">
        <f>(ABS(C20)/2)&lt;D20</f>
        <v>1</v>
      </c>
      <c r="G20" t="b">
        <f>(ABS(C20)/5)&lt;D20</f>
        <v>1</v>
      </c>
      <c r="H20" t="b">
        <f>(ABS(C20)/10)&lt;D20</f>
        <v>1</v>
      </c>
    </row>
    <row r="21" spans="1:8" x14ac:dyDescent="0.35">
      <c r="A21" s="6" t="s">
        <v>14</v>
      </c>
      <c r="B21" t="s">
        <v>7</v>
      </c>
      <c r="C21" s="3">
        <v>-2.0029921744524389E-2</v>
      </c>
      <c r="D21" s="3">
        <v>0.1131408079173202</v>
      </c>
      <c r="E21">
        <v>100</v>
      </c>
      <c r="F21" t="b">
        <f>(ABS(C21)/2)&lt;D21</f>
        <v>1</v>
      </c>
      <c r="G21" t="b">
        <f>(ABS(C21)/5)&lt;D21</f>
        <v>1</v>
      </c>
      <c r="H21" t="b">
        <f>(ABS(C21)/10)&lt;D21</f>
        <v>1</v>
      </c>
    </row>
    <row r="22" spans="1:8" x14ac:dyDescent="0.35">
      <c r="A22" s="6" t="s">
        <v>14</v>
      </c>
      <c r="B22" t="s">
        <v>8</v>
      </c>
      <c r="C22" s="3">
        <v>-0.1167631756344214</v>
      </c>
      <c r="D22" s="3">
        <v>0.18111790625867519</v>
      </c>
      <c r="E22">
        <v>100</v>
      </c>
      <c r="F22" t="b">
        <f>(ABS(C22)/2)&lt;D22</f>
        <v>1</v>
      </c>
      <c r="G22" t="b">
        <f>(ABS(C22)/5)&lt;D22</f>
        <v>1</v>
      </c>
      <c r="H22" t="b">
        <f>(ABS(C22)/10)&lt;D22</f>
        <v>1</v>
      </c>
    </row>
    <row r="23" spans="1:8" x14ac:dyDescent="0.35">
      <c r="A23" t="s">
        <v>15</v>
      </c>
      <c r="B23" t="s">
        <v>6</v>
      </c>
      <c r="C23" s="3">
        <v>0.17719333986705041</v>
      </c>
      <c r="D23" s="3">
        <v>0.24237404539319121</v>
      </c>
      <c r="E23">
        <v>5500</v>
      </c>
      <c r="F23" t="b">
        <f>(ABS(C23)/2)&lt;D23</f>
        <v>1</v>
      </c>
      <c r="G23" t="b">
        <f>(ABS(C23)/5)&lt;D23</f>
        <v>1</v>
      </c>
      <c r="H23" t="b">
        <f>(ABS(C23)/10)&lt;D23</f>
        <v>1</v>
      </c>
    </row>
    <row r="24" spans="1:8" s="4" customFormat="1" x14ac:dyDescent="0.35">
      <c r="A24" t="s">
        <v>15</v>
      </c>
      <c r="B24" t="s">
        <v>8</v>
      </c>
      <c r="C24" s="3">
        <v>0.19196279380413431</v>
      </c>
      <c r="D24" s="3">
        <v>0.1691429421759871</v>
      </c>
      <c r="E24">
        <v>100</v>
      </c>
      <c r="F24" t="b">
        <f>(ABS(C24)/2)&lt;D24</f>
        <v>1</v>
      </c>
      <c r="G24" t="b">
        <f>(ABS(C24)/5)&lt;D24</f>
        <v>1</v>
      </c>
      <c r="H24" t="b">
        <f>(ABS(C24)/10)&lt;D24</f>
        <v>1</v>
      </c>
    </row>
    <row r="25" spans="1:8" x14ac:dyDescent="0.35">
      <c r="A25" s="4" t="s">
        <v>15</v>
      </c>
      <c r="B25" s="4" t="s">
        <v>7</v>
      </c>
      <c r="C25" s="5">
        <v>0.33116618208573972</v>
      </c>
      <c r="D25" s="5">
        <v>0.1083670115115795</v>
      </c>
      <c r="E25" s="4">
        <v>100</v>
      </c>
      <c r="F25" t="b">
        <f>(ABS(C25)/2)&lt;D25</f>
        <v>0</v>
      </c>
      <c r="G25" t="b">
        <f>(ABS(C25)/5)&lt;D25</f>
        <v>1</v>
      </c>
      <c r="H25" t="b">
        <f>(ABS(C25)/10)&lt;D25</f>
        <v>1</v>
      </c>
    </row>
    <row r="26" spans="1:8" x14ac:dyDescent="0.35">
      <c r="A26" t="s">
        <v>16</v>
      </c>
      <c r="B26" t="s">
        <v>6</v>
      </c>
      <c r="C26" s="3">
        <v>0.40676124641342881</v>
      </c>
      <c r="D26" s="3">
        <v>0.21140500606842641</v>
      </c>
      <c r="E26">
        <v>5500</v>
      </c>
      <c r="F26" t="b">
        <f>(ABS(C26)/2)&lt;D26</f>
        <v>1</v>
      </c>
      <c r="G26" t="b">
        <f>(ABS(C26)/5)&lt;D26</f>
        <v>1</v>
      </c>
      <c r="H26" t="b">
        <f>(ABS(C26)/10)&lt;D26</f>
        <v>1</v>
      </c>
    </row>
    <row r="27" spans="1:8" s="4" customFormat="1" x14ac:dyDescent="0.35">
      <c r="A27" s="4" t="s">
        <v>16</v>
      </c>
      <c r="B27" s="4" t="s">
        <v>7</v>
      </c>
      <c r="C27" s="5">
        <v>0.516793688974302</v>
      </c>
      <c r="D27" s="5">
        <v>5.7965062719614803E-2</v>
      </c>
      <c r="E27" s="4">
        <v>100</v>
      </c>
      <c r="F27" t="b">
        <f>(ABS(C27)/2)&lt;D27</f>
        <v>0</v>
      </c>
      <c r="G27" t="b">
        <f>(ABS(C27)/5)&lt;D27</f>
        <v>0</v>
      </c>
      <c r="H27" t="b">
        <f>(ABS(C27)/10)&lt;D27</f>
        <v>1</v>
      </c>
    </row>
    <row r="28" spans="1:8" s="4" customFormat="1" x14ac:dyDescent="0.35">
      <c r="A28" s="4" t="s">
        <v>16</v>
      </c>
      <c r="B28" s="4" t="s">
        <v>8</v>
      </c>
      <c r="C28" s="5">
        <v>0.50030894674531101</v>
      </c>
      <c r="D28" s="5">
        <v>0.1137349337439435</v>
      </c>
      <c r="E28" s="4">
        <v>100</v>
      </c>
      <c r="F28" t="b">
        <f>(ABS(C28)/2)&lt;D28</f>
        <v>0</v>
      </c>
      <c r="G28" t="b">
        <f>(ABS(C28)/5)&lt;D28</f>
        <v>1</v>
      </c>
      <c r="H28" t="b">
        <f>(ABS(C28)/10)&lt;D28</f>
        <v>1</v>
      </c>
    </row>
    <row r="29" spans="1:8" x14ac:dyDescent="0.35">
      <c r="A29" s="6" t="s">
        <v>17</v>
      </c>
      <c r="B29" t="s">
        <v>6</v>
      </c>
      <c r="C29" s="3">
        <v>4.7224691981879632E-2</v>
      </c>
      <c r="D29" s="3">
        <v>0.23661559510757679</v>
      </c>
      <c r="E29">
        <v>5500</v>
      </c>
      <c r="F29" t="b">
        <f>(ABS(C29)/2)&lt;D29</f>
        <v>1</v>
      </c>
      <c r="G29" t="b">
        <f>(ABS(C29)/5)&lt;D29</f>
        <v>1</v>
      </c>
      <c r="H29" t="b">
        <f>(ABS(C29)/10)&lt;D29</f>
        <v>1</v>
      </c>
    </row>
    <row r="30" spans="1:8" x14ac:dyDescent="0.35">
      <c r="A30" s="6" t="s">
        <v>17</v>
      </c>
      <c r="B30" t="s">
        <v>7</v>
      </c>
      <c r="C30" s="3">
        <v>8.0418814358931071E-2</v>
      </c>
      <c r="D30" s="3">
        <v>0.13086517829805419</v>
      </c>
      <c r="E30">
        <v>100</v>
      </c>
      <c r="F30" t="b">
        <f>(ABS(C30)/2)&lt;D30</f>
        <v>1</v>
      </c>
      <c r="G30" t="b">
        <f>(ABS(C30)/5)&lt;D30</f>
        <v>1</v>
      </c>
      <c r="H30" t="b">
        <f>(ABS(C30)/10)&lt;D30</f>
        <v>1</v>
      </c>
    </row>
    <row r="31" spans="1:8" x14ac:dyDescent="0.35">
      <c r="A31" s="6" t="s">
        <v>17</v>
      </c>
      <c r="B31" t="s">
        <v>8</v>
      </c>
      <c r="C31" s="3">
        <v>6.4485415541610344E-2</v>
      </c>
      <c r="D31" s="3">
        <v>0.16709788055760791</v>
      </c>
      <c r="E31">
        <v>100</v>
      </c>
      <c r="F31" t="b">
        <f>(ABS(C31)/2)&lt;D31</f>
        <v>1</v>
      </c>
      <c r="G31" t="b">
        <f>(ABS(C31)/5)&lt;D31</f>
        <v>1</v>
      </c>
      <c r="H31" t="b">
        <f>(ABS(C31)/10)&lt;D31</f>
        <v>1</v>
      </c>
    </row>
    <row r="32" spans="1:8" x14ac:dyDescent="0.35">
      <c r="A32" s="6" t="s">
        <v>18</v>
      </c>
      <c r="B32" t="s">
        <v>6</v>
      </c>
      <c r="C32" s="3">
        <v>0.15870455856637769</v>
      </c>
      <c r="D32" s="3">
        <v>0.2140304680154235</v>
      </c>
      <c r="E32">
        <v>5500</v>
      </c>
      <c r="F32" t="b">
        <f>(ABS(C32)/2)&lt;D32</f>
        <v>1</v>
      </c>
      <c r="G32" t="b">
        <f>(ABS(C32)/5)&lt;D32</f>
        <v>1</v>
      </c>
      <c r="H32" t="b">
        <f>(ABS(C32)/10)&lt;D32</f>
        <v>1</v>
      </c>
    </row>
    <row r="33" spans="1:8" x14ac:dyDescent="0.35">
      <c r="A33" s="6" t="s">
        <v>18</v>
      </c>
      <c r="B33" t="s">
        <v>11</v>
      </c>
      <c r="C33" s="3">
        <v>-0.14634699263773829</v>
      </c>
      <c r="D33" s="3">
        <v>7.5293944391738143E-2</v>
      </c>
      <c r="E33">
        <v>50</v>
      </c>
      <c r="F33" t="b">
        <f>(ABS(C33)/2)&lt;D33</f>
        <v>1</v>
      </c>
      <c r="G33" t="b">
        <f>(ABS(C33)/5)&lt;D33</f>
        <v>1</v>
      </c>
      <c r="H33" t="b">
        <f>(ABS(C33)/10)&lt;D33</f>
        <v>1</v>
      </c>
    </row>
    <row r="34" spans="1:8" x14ac:dyDescent="0.35">
      <c r="A34" s="6" t="s">
        <v>18</v>
      </c>
      <c r="B34" t="s">
        <v>7</v>
      </c>
      <c r="C34" s="3">
        <v>6.0663896997979909E-2</v>
      </c>
      <c r="D34" s="3">
        <v>0.15374883766761099</v>
      </c>
      <c r="E34">
        <v>100</v>
      </c>
      <c r="F34" t="b">
        <f>(ABS(C34)/2)&lt;D34</f>
        <v>1</v>
      </c>
      <c r="G34" t="b">
        <f>(ABS(C34)/5)&lt;D34</f>
        <v>1</v>
      </c>
      <c r="H34" t="b">
        <f>(ABS(C34)/10)&lt;D34</f>
        <v>1</v>
      </c>
    </row>
    <row r="35" spans="1:8" x14ac:dyDescent="0.35">
      <c r="A35" s="6" t="s">
        <v>18</v>
      </c>
      <c r="B35" t="s">
        <v>8</v>
      </c>
      <c r="C35" s="3">
        <v>8.9814280972049645E-2</v>
      </c>
      <c r="D35" s="3">
        <v>0.123926565244506</v>
      </c>
      <c r="E35">
        <v>100</v>
      </c>
      <c r="F35" t="b">
        <f>(ABS(C35)/2)&lt;D35</f>
        <v>1</v>
      </c>
      <c r="G35" t="b">
        <f>(ABS(C35)/5)&lt;D35</f>
        <v>1</v>
      </c>
      <c r="H35" t="b">
        <f>(ABS(C35)/10)&lt;D35</f>
        <v>1</v>
      </c>
    </row>
    <row r="36" spans="1:8" x14ac:dyDescent="0.35">
      <c r="A36" s="6" t="s">
        <v>18</v>
      </c>
      <c r="B36" t="s">
        <v>10</v>
      </c>
      <c r="C36" s="3">
        <v>-0.23245258619689699</v>
      </c>
      <c r="D36" s="3">
        <v>8.1509967673878095E-2</v>
      </c>
      <c r="E36">
        <v>50</v>
      </c>
      <c r="F36" t="b">
        <f>(ABS(C36)/2)&lt;D36</f>
        <v>0</v>
      </c>
      <c r="G36" t="b">
        <f>(ABS(C36)/5)&lt;D36</f>
        <v>1</v>
      </c>
      <c r="H36" t="b">
        <f>(ABS(C36)/10)&lt;D36</f>
        <v>1</v>
      </c>
    </row>
    <row r="37" spans="1:8" x14ac:dyDescent="0.35">
      <c r="A37" t="s">
        <v>19</v>
      </c>
      <c r="B37" t="s">
        <v>6</v>
      </c>
      <c r="C37" s="3">
        <v>0.17861780635113511</v>
      </c>
      <c r="D37" s="3">
        <v>0.23223898624411601</v>
      </c>
      <c r="E37">
        <v>5500</v>
      </c>
      <c r="F37" t="b">
        <f>(ABS(C37)/2)&lt;D37</f>
        <v>1</v>
      </c>
      <c r="G37" t="b">
        <f>(ABS(C37)/5)&lt;D37</f>
        <v>1</v>
      </c>
      <c r="H37" t="b">
        <f>(ABS(C37)/10)&lt;D37</f>
        <v>1</v>
      </c>
    </row>
    <row r="38" spans="1:8" x14ac:dyDescent="0.35">
      <c r="A38" t="s">
        <v>19</v>
      </c>
      <c r="B38" t="s">
        <v>7</v>
      </c>
      <c r="C38" s="3">
        <v>0.15805906041187009</v>
      </c>
      <c r="D38" s="3">
        <v>0.24523032918343721</v>
      </c>
      <c r="E38">
        <v>100</v>
      </c>
      <c r="F38" t="b">
        <f>(ABS(C38)/2)&lt;D38</f>
        <v>1</v>
      </c>
      <c r="G38" t="b">
        <f>(ABS(C38)/5)&lt;D38</f>
        <v>1</v>
      </c>
      <c r="H38" t="b">
        <f>(ABS(C38)/10)&lt;D38</f>
        <v>1</v>
      </c>
    </row>
    <row r="39" spans="1:8" x14ac:dyDescent="0.35">
      <c r="A39" t="s">
        <v>19</v>
      </c>
      <c r="B39" t="s">
        <v>8</v>
      </c>
      <c r="C39" s="3">
        <v>5.4093625158765819E-2</v>
      </c>
      <c r="D39" s="3">
        <v>8.6118401432298597E-2</v>
      </c>
      <c r="E39">
        <v>100</v>
      </c>
      <c r="F39" t="b">
        <f>(ABS(C39)/2)&lt;D39</f>
        <v>1</v>
      </c>
      <c r="G39" t="b">
        <f>(ABS(C39)/5)&lt;D39</f>
        <v>1</v>
      </c>
      <c r="H39" t="b">
        <f>(ABS(C39)/10)&lt;D39</f>
        <v>1</v>
      </c>
    </row>
    <row r="40" spans="1:8" x14ac:dyDescent="0.35">
      <c r="A40" t="s">
        <v>19</v>
      </c>
      <c r="B40" t="s">
        <v>10</v>
      </c>
      <c r="C40" s="5">
        <v>0.33699680352201611</v>
      </c>
      <c r="D40" s="5">
        <v>4.4194809361859828E-2</v>
      </c>
      <c r="E40">
        <v>50</v>
      </c>
      <c r="F40" t="b">
        <f>(ABS(C40)/2)&lt;D40</f>
        <v>0</v>
      </c>
      <c r="G40" t="b">
        <f>(ABS(C40)/5)&lt;D40</f>
        <v>0</v>
      </c>
      <c r="H40" t="b">
        <f>(ABS(C40)/10)&lt;D40</f>
        <v>1</v>
      </c>
    </row>
    <row r="41" spans="1:8" x14ac:dyDescent="0.35">
      <c r="A41" t="s">
        <v>19</v>
      </c>
      <c r="B41" t="s">
        <v>11</v>
      </c>
      <c r="C41" s="5">
        <v>0.31426588434013619</v>
      </c>
      <c r="D41" s="5">
        <v>3.5048008432472133E-2</v>
      </c>
      <c r="E41">
        <v>50</v>
      </c>
      <c r="F41" t="b">
        <f>(ABS(C41)/2)&lt;D41</f>
        <v>0</v>
      </c>
      <c r="G41" t="b">
        <f>(ABS(C41)/5)&lt;D41</f>
        <v>0</v>
      </c>
      <c r="H41" t="b">
        <f>(ABS(C41)/10)&lt;D41</f>
        <v>1</v>
      </c>
    </row>
    <row r="42" spans="1:8" x14ac:dyDescent="0.35">
      <c r="A42" t="s">
        <v>20</v>
      </c>
      <c r="B42" t="s">
        <v>25</v>
      </c>
      <c r="C42" s="5">
        <v>0.7343897989812237</v>
      </c>
      <c r="D42" s="3">
        <v>6.66373893909884E-2</v>
      </c>
      <c r="E42">
        <v>150</v>
      </c>
      <c r="F42" t="b">
        <f>(ABS(C42)/2)&lt;D42</f>
        <v>0</v>
      </c>
      <c r="G42" t="b">
        <f>(ABS(C42)/5)&lt;D42</f>
        <v>0</v>
      </c>
      <c r="H42" t="b">
        <f>(ABS(C42)/10)&lt;D42</f>
        <v>0</v>
      </c>
    </row>
    <row r="43" spans="1:8" x14ac:dyDescent="0.35">
      <c r="A43" t="s">
        <v>20</v>
      </c>
      <c r="B43" t="s">
        <v>22</v>
      </c>
      <c r="C43" s="3">
        <v>0.64694548137737273</v>
      </c>
      <c r="D43" s="3">
        <v>0.13148756760202759</v>
      </c>
      <c r="E43">
        <v>11000</v>
      </c>
      <c r="F43" t="b">
        <f>(ABS(C43)/2)&lt;D43</f>
        <v>0</v>
      </c>
      <c r="G43" t="b">
        <f>(ABS(C43)/5)&lt;D43</f>
        <v>1</v>
      </c>
      <c r="H43" t="b">
        <f>(ABS(C43)/10)&lt;D43</f>
        <v>1</v>
      </c>
    </row>
    <row r="44" spans="1:8" x14ac:dyDescent="0.35">
      <c r="A44" t="s">
        <v>20</v>
      </c>
      <c r="B44" t="s">
        <v>24</v>
      </c>
      <c r="C44" s="5">
        <v>0.5590125660231704</v>
      </c>
      <c r="D44" s="3">
        <v>6.9803737317227985E-2</v>
      </c>
      <c r="E44">
        <v>150</v>
      </c>
      <c r="F44" t="b">
        <f>(ABS(C44)/2)&lt;D44</f>
        <v>0</v>
      </c>
      <c r="G44" t="b">
        <f>(ABS(C44)/5)&lt;D44</f>
        <v>0</v>
      </c>
      <c r="H44" t="b">
        <f>(ABS(C44)/10)&lt;D44</f>
        <v>1</v>
      </c>
    </row>
    <row r="45" spans="1:8" x14ac:dyDescent="0.35">
      <c r="A45" t="s">
        <v>20</v>
      </c>
      <c r="B45" t="s">
        <v>21</v>
      </c>
      <c r="C45" s="3">
        <v>0.5583556018004866</v>
      </c>
      <c r="D45" s="3">
        <v>0.13596202210549449</v>
      </c>
      <c r="E45">
        <v>12000</v>
      </c>
      <c r="F45" t="b">
        <f>(ABS(C45)/2)&lt;D45</f>
        <v>0</v>
      </c>
      <c r="G45" t="b">
        <f>(ABS(C45)/5)&lt;D45</f>
        <v>1</v>
      </c>
      <c r="H45" t="b">
        <f>(ABS(C45)/10)&lt;D45</f>
        <v>1</v>
      </c>
    </row>
    <row r="46" spans="1:8" x14ac:dyDescent="0.35">
      <c r="A46" t="s">
        <v>20</v>
      </c>
      <c r="B46" t="s">
        <v>23</v>
      </c>
      <c r="C46" s="3">
        <v>0.55004145692310957</v>
      </c>
      <c r="D46" s="3">
        <v>0.11567572552768481</v>
      </c>
      <c r="E46">
        <v>150</v>
      </c>
      <c r="F46" t="b">
        <f>(ABS(C46)/2)&lt;D46</f>
        <v>0</v>
      </c>
      <c r="G46" t="b">
        <f>(ABS(C46)/5)&lt;D46</f>
        <v>1</v>
      </c>
      <c r="H46" t="b">
        <f>(ABS(C46)/10)&lt;D46</f>
        <v>1</v>
      </c>
    </row>
    <row r="47" spans="1:8" x14ac:dyDescent="0.35">
      <c r="A47" t="s">
        <v>20</v>
      </c>
      <c r="B47" t="s">
        <v>26</v>
      </c>
      <c r="C47" s="5">
        <v>0.54798181279783797</v>
      </c>
      <c r="D47" s="3">
        <v>4.9575877628905689E-2</v>
      </c>
      <c r="E47">
        <v>150</v>
      </c>
      <c r="F47" t="b">
        <f>(ABS(C47)/2)&lt;D47</f>
        <v>0</v>
      </c>
      <c r="G47" t="b">
        <f>(ABS(C47)/5)&lt;D47</f>
        <v>0</v>
      </c>
      <c r="H47" t="b">
        <f>(ABS(C47)/10)&lt;D47</f>
        <v>0</v>
      </c>
    </row>
    <row r="48" spans="1:8" x14ac:dyDescent="0.35">
      <c r="A48" t="s">
        <v>27</v>
      </c>
      <c r="B48" t="s">
        <v>25</v>
      </c>
      <c r="C48" s="3">
        <v>0.69705552215183875</v>
      </c>
      <c r="D48" s="3">
        <v>0.1233849947290331</v>
      </c>
      <c r="E48">
        <v>150</v>
      </c>
      <c r="F48" t="b">
        <f>(ABS(C48)/2)&lt;D48</f>
        <v>0</v>
      </c>
      <c r="G48" t="b">
        <f>(ABS(C48)/5)&lt;D48</f>
        <v>0</v>
      </c>
      <c r="H48" t="b">
        <f>(ABS(C48)/10)&lt;D48</f>
        <v>1</v>
      </c>
    </row>
    <row r="49" spans="1:8" x14ac:dyDescent="0.35">
      <c r="A49" t="s">
        <v>27</v>
      </c>
      <c r="B49" t="s">
        <v>22</v>
      </c>
      <c r="C49" s="3">
        <v>0.6566469798571769</v>
      </c>
      <c r="D49" s="3">
        <v>0.1234939622994336</v>
      </c>
      <c r="E49">
        <v>11000</v>
      </c>
      <c r="F49" t="b">
        <f>(ABS(C49)/2)&lt;D49</f>
        <v>0</v>
      </c>
      <c r="G49" t="b">
        <f>(ABS(C49)/5)&lt;D49</f>
        <v>0</v>
      </c>
      <c r="H49" t="b">
        <f>(ABS(C49)/10)&lt;D49</f>
        <v>1</v>
      </c>
    </row>
    <row r="50" spans="1:8" x14ac:dyDescent="0.35">
      <c r="A50" t="s">
        <v>27</v>
      </c>
      <c r="B50" t="s">
        <v>26</v>
      </c>
      <c r="C50" s="3">
        <v>0.58415118782319198</v>
      </c>
      <c r="D50" s="3">
        <v>0.1557295551114318</v>
      </c>
      <c r="E50">
        <v>150</v>
      </c>
      <c r="F50" t="b">
        <f>(ABS(C50)/2)&lt;D50</f>
        <v>0</v>
      </c>
      <c r="G50" t="b">
        <f>(ABS(C50)/5)&lt;D50</f>
        <v>1</v>
      </c>
      <c r="H50" t="b">
        <f>(ABS(C50)/10)&lt;D50</f>
        <v>1</v>
      </c>
    </row>
    <row r="51" spans="1:8" x14ac:dyDescent="0.35">
      <c r="A51" t="s">
        <v>27</v>
      </c>
      <c r="B51" t="s">
        <v>23</v>
      </c>
      <c r="C51" s="3">
        <v>0.30826315381194402</v>
      </c>
      <c r="D51" s="3">
        <v>0.2495922223725498</v>
      </c>
      <c r="E51">
        <v>150</v>
      </c>
      <c r="F51" t="b">
        <f>(ABS(C51)/2)&lt;D51</f>
        <v>1</v>
      </c>
      <c r="G51" t="b">
        <f>(ABS(C51)/5)&lt;D51</f>
        <v>1</v>
      </c>
      <c r="H51" t="b">
        <f>(ABS(C51)/10)&lt;D51</f>
        <v>1</v>
      </c>
    </row>
    <row r="52" spans="1:8" x14ac:dyDescent="0.35">
      <c r="A52" t="s">
        <v>27</v>
      </c>
      <c r="B52" t="s">
        <v>24</v>
      </c>
      <c r="C52" s="3">
        <v>0.35198380800012768</v>
      </c>
      <c r="D52" s="3">
        <v>7.5930258718574173E-2</v>
      </c>
      <c r="E52">
        <v>150</v>
      </c>
      <c r="F52" t="b">
        <f>(ABS(C52)/2)&lt;D52</f>
        <v>0</v>
      </c>
      <c r="G52" t="b">
        <f>(ABS(C52)/5)&lt;D52</f>
        <v>1</v>
      </c>
      <c r="H52" t="b">
        <f>(ABS(C52)/10)&lt;D52</f>
        <v>1</v>
      </c>
    </row>
    <row r="53" spans="1:8" x14ac:dyDescent="0.35">
      <c r="A53" t="s">
        <v>28</v>
      </c>
      <c r="B53" t="s">
        <v>10</v>
      </c>
      <c r="C53" s="5">
        <v>0.43231686092148158</v>
      </c>
      <c r="D53" s="3">
        <v>4.3825595101740292E-2</v>
      </c>
      <c r="E53">
        <v>50</v>
      </c>
      <c r="F53" t="b">
        <f>(ABS(C53)/2)&lt;D53</f>
        <v>0</v>
      </c>
      <c r="G53" t="b">
        <f>(ABS(C53)/5)&lt;D53</f>
        <v>0</v>
      </c>
      <c r="H53" t="b">
        <f>(ABS(C53)/10)&lt;D53</f>
        <v>1</v>
      </c>
    </row>
    <row r="54" spans="1:8" x14ac:dyDescent="0.35">
      <c r="A54" t="s">
        <v>28</v>
      </c>
      <c r="B54" t="s">
        <v>8</v>
      </c>
      <c r="C54" s="5">
        <v>0.40386582110501229</v>
      </c>
      <c r="D54" s="3">
        <v>5.8131153286700252E-2</v>
      </c>
      <c r="E54">
        <v>100</v>
      </c>
      <c r="F54" t="b">
        <f>(ABS(C54)/2)&lt;D54</f>
        <v>0</v>
      </c>
      <c r="G54" t="b">
        <f>(ABS(C54)/5)&lt;D54</f>
        <v>0</v>
      </c>
      <c r="H54" t="b">
        <f>(ABS(C54)/10)&lt;D54</f>
        <v>1</v>
      </c>
    </row>
    <row r="55" spans="1:8" x14ac:dyDescent="0.35">
      <c r="A55" t="s">
        <v>28</v>
      </c>
      <c r="B55" t="s">
        <v>6</v>
      </c>
      <c r="C55" s="3">
        <v>0.33520631025494552</v>
      </c>
      <c r="D55" s="3">
        <v>0.21308153998000121</v>
      </c>
      <c r="E55">
        <v>5500</v>
      </c>
      <c r="F55" t="b">
        <f>(ABS(C55)/2)&lt;D55</f>
        <v>1</v>
      </c>
      <c r="G55" t="b">
        <f>(ABS(C55)/5)&lt;D55</f>
        <v>1</v>
      </c>
      <c r="H55" t="b">
        <f>(ABS(C55)/10)&lt;D55</f>
        <v>1</v>
      </c>
    </row>
    <row r="56" spans="1:8" x14ac:dyDescent="0.35">
      <c r="A56" t="s">
        <v>28</v>
      </c>
      <c r="B56" t="s">
        <v>7</v>
      </c>
      <c r="C56" s="5">
        <v>0.37045863388495742</v>
      </c>
      <c r="D56" s="3">
        <v>0.1194040948930632</v>
      </c>
      <c r="E56">
        <v>100</v>
      </c>
      <c r="F56" t="b">
        <f>(ABS(C56)/2)&lt;D56</f>
        <v>0</v>
      </c>
      <c r="G56" t="b">
        <f>(ABS(C56)/5)&lt;D56</f>
        <v>1</v>
      </c>
      <c r="H56" t="b">
        <f>(ABS(C56)/10)&lt;D56</f>
        <v>1</v>
      </c>
    </row>
    <row r="57" spans="1:8" x14ac:dyDescent="0.35">
      <c r="A57" t="s">
        <v>28</v>
      </c>
      <c r="B57" t="s">
        <v>11</v>
      </c>
      <c r="C57" s="5">
        <v>0.33489096387094719</v>
      </c>
      <c r="D57" s="3">
        <v>4.0526564011857912E-2</v>
      </c>
      <c r="E57">
        <v>50</v>
      </c>
      <c r="F57" t="b">
        <f>(ABS(C57)/2)&lt;D57</f>
        <v>0</v>
      </c>
      <c r="G57" t="b">
        <f>(ABS(C57)/5)&lt;D57</f>
        <v>0</v>
      </c>
      <c r="H57" t="b">
        <f>(ABS(C57)/10)&lt;D57</f>
        <v>1</v>
      </c>
    </row>
    <row r="58" spans="1:8" x14ac:dyDescent="0.35">
      <c r="A58" s="7" t="s">
        <v>29</v>
      </c>
      <c r="B58" t="s">
        <v>6</v>
      </c>
      <c r="C58" s="3">
        <v>0.32681707160562878</v>
      </c>
      <c r="D58" s="3">
        <v>0.28750197034183173</v>
      </c>
      <c r="E58">
        <v>5500</v>
      </c>
      <c r="F58" t="b">
        <f>(ABS(C58)/2)&lt;D58</f>
        <v>1</v>
      </c>
      <c r="G58" t="b">
        <f>(ABS(C58)/5)&lt;D58</f>
        <v>1</v>
      </c>
      <c r="H58" t="b">
        <f>(ABS(C58)/10)&lt;D58</f>
        <v>1</v>
      </c>
    </row>
    <row r="59" spans="1:8" x14ac:dyDescent="0.35">
      <c r="A59" s="7" t="s">
        <v>29</v>
      </c>
      <c r="B59" t="s">
        <v>7</v>
      </c>
      <c r="C59" s="3">
        <v>0.27867675902463651</v>
      </c>
      <c r="D59" s="3">
        <v>0.24747965693142709</v>
      </c>
      <c r="E59">
        <v>100</v>
      </c>
      <c r="F59" t="b">
        <f>(ABS(C59)/2)&lt;D59</f>
        <v>1</v>
      </c>
      <c r="G59" t="b">
        <f>(ABS(C59)/5)&lt;D59</f>
        <v>1</v>
      </c>
      <c r="H59" t="b">
        <f>(ABS(C59)/10)&lt;D59</f>
        <v>1</v>
      </c>
    </row>
    <row r="60" spans="1:8" x14ac:dyDescent="0.35">
      <c r="A60" s="7" t="s">
        <v>29</v>
      </c>
      <c r="B60" t="s">
        <v>8</v>
      </c>
      <c r="C60" s="3">
        <v>0.20482384150998109</v>
      </c>
      <c r="D60" s="3">
        <v>0.27372760260954471</v>
      </c>
      <c r="E60">
        <v>100</v>
      </c>
      <c r="F60" t="b">
        <f>(ABS(C60)/2)&lt;D60</f>
        <v>1</v>
      </c>
      <c r="G60" t="b">
        <f>(ABS(C60)/5)&lt;D60</f>
        <v>1</v>
      </c>
      <c r="H60" t="b">
        <f>(ABS(C60)/10)&lt;D60</f>
        <v>1</v>
      </c>
    </row>
    <row r="61" spans="1:8" x14ac:dyDescent="0.35">
      <c r="A61" s="6" t="s">
        <v>33</v>
      </c>
      <c r="B61" t="s">
        <v>6</v>
      </c>
      <c r="C61" s="3">
        <v>0.17826401108547199</v>
      </c>
      <c r="D61" s="3">
        <v>0.20852629429959149</v>
      </c>
      <c r="E61">
        <v>5500</v>
      </c>
      <c r="F61" t="b">
        <f>(ABS(C61)/2)&lt;D61</f>
        <v>1</v>
      </c>
      <c r="G61" t="b">
        <f>(ABS(C61)/5)&lt;D61</f>
        <v>1</v>
      </c>
      <c r="H61" t="b">
        <f>(ABS(C61)/10)&lt;D61</f>
        <v>1</v>
      </c>
    </row>
    <row r="62" spans="1:8" x14ac:dyDescent="0.35">
      <c r="A62" s="6" t="s">
        <v>33</v>
      </c>
      <c r="B62" t="s">
        <v>10</v>
      </c>
      <c r="C62" s="3">
        <v>-1.490959035913517E-2</v>
      </c>
      <c r="D62" s="3">
        <v>6.8854230369333982E-2</v>
      </c>
      <c r="E62">
        <v>50</v>
      </c>
      <c r="F62" t="b">
        <f>(ABS(C62)/2)&lt;D62</f>
        <v>1</v>
      </c>
      <c r="G62" t="b">
        <f>(ABS(C62)/5)&lt;D62</f>
        <v>1</v>
      </c>
      <c r="H62" t="b">
        <f>(ABS(C62)/10)&lt;D62</f>
        <v>1</v>
      </c>
    </row>
    <row r="63" spans="1:8" x14ac:dyDescent="0.35">
      <c r="A63" s="6" t="s">
        <v>33</v>
      </c>
      <c r="B63" t="s">
        <v>11</v>
      </c>
      <c r="C63" s="5">
        <v>0.20033184969126469</v>
      </c>
      <c r="D63" s="3">
        <v>5.0727960441957619E-2</v>
      </c>
      <c r="E63">
        <v>50</v>
      </c>
      <c r="F63" t="b">
        <f>(ABS(C63)/2)&lt;D63</f>
        <v>0</v>
      </c>
      <c r="G63" t="b">
        <f>(ABS(C63)/5)&lt;D63</f>
        <v>1</v>
      </c>
      <c r="H63" t="b">
        <f>(ABS(C63)/10)&lt;D63</f>
        <v>1</v>
      </c>
    </row>
    <row r="64" spans="1:8" x14ac:dyDescent="0.35">
      <c r="A64" s="6" t="s">
        <v>33</v>
      </c>
      <c r="B64" t="s">
        <v>8</v>
      </c>
      <c r="C64" s="3">
        <v>0.18025361222437469</v>
      </c>
      <c r="D64" s="3">
        <v>3.6508233577937851E-2</v>
      </c>
      <c r="E64">
        <v>100</v>
      </c>
      <c r="F64" t="b">
        <f>(ABS(C64)/2)&lt;D64</f>
        <v>0</v>
      </c>
      <c r="G64" t="b">
        <f>(ABS(C64)/5)&lt;D64</f>
        <v>1</v>
      </c>
      <c r="H64" t="b">
        <f>(ABS(C64)/10)&lt;D64</f>
        <v>1</v>
      </c>
    </row>
    <row r="65" spans="1:8" x14ac:dyDescent="0.35">
      <c r="A65" s="6" t="s">
        <v>33</v>
      </c>
      <c r="B65" t="s">
        <v>7</v>
      </c>
      <c r="C65" s="3">
        <v>0.1669078032554171</v>
      </c>
      <c r="D65" s="3">
        <v>5.590059223223677E-2</v>
      </c>
      <c r="E65">
        <v>100</v>
      </c>
      <c r="F65" t="b">
        <f>(ABS(C65)/2)&lt;D65</f>
        <v>0</v>
      </c>
      <c r="G65" t="b">
        <f>(ABS(C65)/5)&lt;D65</f>
        <v>1</v>
      </c>
      <c r="H65" t="b">
        <f>(ABS(C65)/10)&lt;D65</f>
        <v>1</v>
      </c>
    </row>
    <row r="66" spans="1:8" x14ac:dyDescent="0.35">
      <c r="A66" t="s">
        <v>30</v>
      </c>
      <c r="B66" t="s">
        <v>7</v>
      </c>
      <c r="C66" s="5">
        <v>0.54772379136178995</v>
      </c>
      <c r="D66" s="3">
        <v>4.9244335162461982E-2</v>
      </c>
      <c r="E66">
        <v>100</v>
      </c>
      <c r="F66" t="b">
        <f>(ABS(C66)/2)&lt;D66</f>
        <v>0</v>
      </c>
      <c r="G66" t="b">
        <f>(ABS(C66)/5)&lt;D66</f>
        <v>0</v>
      </c>
      <c r="H66" t="b">
        <f>(ABS(C66)/10)&lt;D66</f>
        <v>0</v>
      </c>
    </row>
    <row r="67" spans="1:8" x14ac:dyDescent="0.35">
      <c r="A67" t="s">
        <v>30</v>
      </c>
      <c r="B67" t="s">
        <v>6</v>
      </c>
      <c r="C67" s="3">
        <v>0.37951087879246981</v>
      </c>
      <c r="D67" s="3">
        <v>0.25898662905919378</v>
      </c>
      <c r="E67">
        <v>5500</v>
      </c>
      <c r="F67" t="b">
        <f>(ABS(C67)/2)&lt;D67</f>
        <v>1</v>
      </c>
      <c r="G67" t="b">
        <f>(ABS(C67)/5)&lt;D67</f>
        <v>1</v>
      </c>
      <c r="H67" t="b">
        <f>(ABS(C67)/10)&lt;D67</f>
        <v>1</v>
      </c>
    </row>
    <row r="68" spans="1:8" x14ac:dyDescent="0.35">
      <c r="A68" t="s">
        <v>30</v>
      </c>
      <c r="B68" t="s">
        <v>10</v>
      </c>
      <c r="C68" s="5">
        <v>0.29556697411000638</v>
      </c>
      <c r="D68" s="3">
        <v>5.1146151920610783E-2</v>
      </c>
      <c r="E68">
        <v>50</v>
      </c>
      <c r="F68" t="b">
        <f>(ABS(C68)/2)&lt;D68</f>
        <v>0</v>
      </c>
      <c r="G68" t="b">
        <f>(ABS(C68)/5)&lt;D68</f>
        <v>0</v>
      </c>
      <c r="H68" t="b">
        <f>(ABS(C68)/10)&lt;D68</f>
        <v>1</v>
      </c>
    </row>
    <row r="69" spans="1:8" x14ac:dyDescent="0.35">
      <c r="A69" t="s">
        <v>30</v>
      </c>
      <c r="B69" t="s">
        <v>8</v>
      </c>
      <c r="C69" s="3">
        <v>0.43018222299420011</v>
      </c>
      <c r="D69" s="3">
        <v>0.22275297486060491</v>
      </c>
      <c r="E69">
        <v>100</v>
      </c>
      <c r="F69" t="b">
        <f>(ABS(C69)/2)&lt;D69</f>
        <v>1</v>
      </c>
      <c r="G69" t="b">
        <f>(ABS(C69)/5)&lt;D69</f>
        <v>1</v>
      </c>
      <c r="H69" t="b">
        <f>(ABS(C69)/10)&lt;D69</f>
        <v>1</v>
      </c>
    </row>
    <row r="70" spans="1:8" x14ac:dyDescent="0.35">
      <c r="A70" t="s">
        <v>30</v>
      </c>
      <c r="B70" t="s">
        <v>11</v>
      </c>
      <c r="C70" s="5">
        <v>0.23069166795358809</v>
      </c>
      <c r="D70" s="3">
        <v>2.957203133589615E-2</v>
      </c>
      <c r="E70">
        <v>50</v>
      </c>
      <c r="F70" t="b">
        <f>(ABS(C70)/2)&lt;D70</f>
        <v>0</v>
      </c>
      <c r="G70" t="b">
        <f>(ABS(C70)/5)&lt;D70</f>
        <v>0</v>
      </c>
      <c r="H70" t="b">
        <f>(ABS(C70)/10)&lt;D70</f>
        <v>1</v>
      </c>
    </row>
    <row r="71" spans="1:8" x14ac:dyDescent="0.35">
      <c r="A71" s="6" t="s">
        <v>34</v>
      </c>
      <c r="B71" t="s">
        <v>21</v>
      </c>
      <c r="C71" s="3">
        <v>0.4100873960179196</v>
      </c>
      <c r="D71" s="3">
        <v>0.34087956406568781</v>
      </c>
      <c r="E71">
        <v>12000</v>
      </c>
      <c r="F71" t="b">
        <f>(ABS(C71)/2)&lt;D71</f>
        <v>1</v>
      </c>
      <c r="G71" t="b">
        <f>(ABS(C71)/5)&lt;D71</f>
        <v>1</v>
      </c>
      <c r="H71" t="b">
        <f>(ABS(C71)/10)&lt;D71</f>
        <v>1</v>
      </c>
    </row>
    <row r="72" spans="1:8" x14ac:dyDescent="0.35">
      <c r="A72" s="6" t="s">
        <v>34</v>
      </c>
      <c r="B72" t="s">
        <v>22</v>
      </c>
      <c r="C72" s="3">
        <v>0.46245956631124058</v>
      </c>
      <c r="D72" s="3">
        <v>0.33889011921124917</v>
      </c>
      <c r="E72">
        <v>11000</v>
      </c>
      <c r="F72" t="b">
        <f>(ABS(C72)/2)&lt;D72</f>
        <v>1</v>
      </c>
      <c r="G72" t="b">
        <f>(ABS(C72)/5)&lt;D72</f>
        <v>1</v>
      </c>
      <c r="H72" t="b">
        <f>(ABS(C72)/10)&lt;D72</f>
        <v>1</v>
      </c>
    </row>
    <row r="73" spans="1:8" x14ac:dyDescent="0.35">
      <c r="A73" s="6" t="s">
        <v>34</v>
      </c>
      <c r="B73" t="s">
        <v>23</v>
      </c>
      <c r="C73" s="3">
        <v>0.1958274452005993</v>
      </c>
      <c r="D73" s="3">
        <v>0.31103985407276707</v>
      </c>
      <c r="E73">
        <v>150</v>
      </c>
      <c r="F73" t="b">
        <f>(ABS(C73)/2)&lt;D73</f>
        <v>1</v>
      </c>
      <c r="G73" t="b">
        <f>(ABS(C73)/5)&lt;D73</f>
        <v>1</v>
      </c>
      <c r="H73" t="b">
        <f>(ABS(C73)/10)&lt;D73</f>
        <v>1</v>
      </c>
    </row>
    <row r="74" spans="1:8" x14ac:dyDescent="0.35">
      <c r="A74" s="6" t="s">
        <v>34</v>
      </c>
      <c r="B74" t="s">
        <v>24</v>
      </c>
      <c r="C74" s="3">
        <v>0.42877593369961742</v>
      </c>
      <c r="D74" s="3">
        <v>0.23847074740400209</v>
      </c>
      <c r="E74">
        <v>150</v>
      </c>
      <c r="F74" t="b">
        <f>(ABS(C74)/2)&lt;D74</f>
        <v>1</v>
      </c>
      <c r="G74" t="b">
        <f>(ABS(C74)/5)&lt;D74</f>
        <v>1</v>
      </c>
      <c r="H74" t="b">
        <f>(ABS(C74)/10)&lt;D74</f>
        <v>1</v>
      </c>
    </row>
    <row r="75" spans="1:8" x14ac:dyDescent="0.35">
      <c r="A75" s="6" t="s">
        <v>34</v>
      </c>
      <c r="B75" t="s">
        <v>25</v>
      </c>
      <c r="C75" s="3">
        <v>0.5653413371330035</v>
      </c>
      <c r="D75" s="3">
        <v>0.32350752250548109</v>
      </c>
      <c r="E75">
        <v>150</v>
      </c>
      <c r="F75" t="b">
        <f>(ABS(C75)/2)&lt;D75</f>
        <v>1</v>
      </c>
      <c r="G75" t="b">
        <f>(ABS(C75)/5)&lt;D75</f>
        <v>1</v>
      </c>
      <c r="H75" t="b">
        <f>(ABS(C75)/10)&lt;D75</f>
        <v>1</v>
      </c>
    </row>
    <row r="76" spans="1:8" x14ac:dyDescent="0.35">
      <c r="A76" s="6" t="s">
        <v>34</v>
      </c>
      <c r="B76" t="s">
        <v>26</v>
      </c>
      <c r="C76" s="3">
        <v>0.50619688241927374</v>
      </c>
      <c r="D76" s="3">
        <v>0.32009627378368671</v>
      </c>
      <c r="E76">
        <v>150</v>
      </c>
      <c r="F76" t="b">
        <f>(ABS(C76)/2)&lt;D76</f>
        <v>1</v>
      </c>
      <c r="G76" t="b">
        <f>(ABS(C76)/5)&lt;D76</f>
        <v>1</v>
      </c>
      <c r="H76" t="b">
        <f>(ABS(C76)/10)&lt;D76</f>
        <v>1</v>
      </c>
    </row>
    <row r="77" spans="1:8" x14ac:dyDescent="0.35">
      <c r="A77" s="7" t="s">
        <v>31</v>
      </c>
      <c r="B77" t="s">
        <v>6</v>
      </c>
      <c r="C77" s="3">
        <v>9.6403492840960892E-2</v>
      </c>
      <c r="D77" s="3">
        <v>0.19090550393426131</v>
      </c>
      <c r="E77">
        <v>4620</v>
      </c>
      <c r="F77" t="b">
        <f>(ABS(C77)/2)&lt;D77</f>
        <v>1</v>
      </c>
      <c r="G77" t="b">
        <f>(ABS(C77)/5)&lt;D77</f>
        <v>1</v>
      </c>
      <c r="H77" t="b">
        <f>(ABS(C77)/10)&lt;D77</f>
        <v>1</v>
      </c>
    </row>
    <row r="78" spans="1:8" x14ac:dyDescent="0.35">
      <c r="A78" s="7" t="s">
        <v>31</v>
      </c>
      <c r="B78" t="s">
        <v>7</v>
      </c>
      <c r="C78" s="3">
        <v>8.0455885581580483E-2</v>
      </c>
      <c r="D78" s="3">
        <v>7.9109081290893668E-2</v>
      </c>
      <c r="E78">
        <v>100</v>
      </c>
      <c r="F78" t="b">
        <f>(ABS(C78)/2)&lt;D78</f>
        <v>1</v>
      </c>
      <c r="G78" t="b">
        <f>(ABS(C78)/5)&lt;D78</f>
        <v>1</v>
      </c>
      <c r="H78" t="b">
        <f>(ABS(C78)/10)&lt;D78</f>
        <v>1</v>
      </c>
    </row>
    <row r="79" spans="1:8" x14ac:dyDescent="0.35">
      <c r="A79" s="7" t="s">
        <v>31</v>
      </c>
      <c r="B79" t="s">
        <v>8</v>
      </c>
      <c r="C79" s="3">
        <v>4.3786029962158642E-2</v>
      </c>
      <c r="D79" s="3">
        <v>0.19334464379748101</v>
      </c>
      <c r="E79">
        <v>100</v>
      </c>
      <c r="F79" t="b">
        <f>(ABS(C79)/2)&lt;D79</f>
        <v>1</v>
      </c>
      <c r="G79" t="b">
        <f>(ABS(C79)/5)&lt;D79</f>
        <v>1</v>
      </c>
      <c r="H79" t="b">
        <f>(ABS(C79)/10)&lt;D79</f>
        <v>1</v>
      </c>
    </row>
    <row r="80" spans="1:8" x14ac:dyDescent="0.35">
      <c r="A80" s="7" t="s">
        <v>32</v>
      </c>
      <c r="B80" t="s">
        <v>6</v>
      </c>
      <c r="C80" s="3">
        <v>0.1131979186824521</v>
      </c>
      <c r="D80" s="3">
        <v>0.23854322216191781</v>
      </c>
      <c r="E80">
        <v>5500</v>
      </c>
      <c r="F80" t="b">
        <f>(ABS(C80)/2)&lt;D80</f>
        <v>1</v>
      </c>
      <c r="G80" t="b">
        <f>(ABS(C80)/5)&lt;D80</f>
        <v>1</v>
      </c>
      <c r="H80" t="b">
        <f>(ABS(C80)/10)&lt;D80</f>
        <v>1</v>
      </c>
    </row>
    <row r="81" spans="1:8" x14ac:dyDescent="0.35">
      <c r="A81" s="7" t="s">
        <v>32</v>
      </c>
      <c r="B81" t="s">
        <v>7</v>
      </c>
      <c r="C81" s="3">
        <v>4.468812747460852E-2</v>
      </c>
      <c r="D81" s="3">
        <v>9.1135105944434192E-2</v>
      </c>
      <c r="E81">
        <v>100</v>
      </c>
      <c r="F81" t="b">
        <f>(ABS(C81)/2)&lt;D81</f>
        <v>1</v>
      </c>
      <c r="G81" t="b">
        <f>(ABS(C81)/5)&lt;D81</f>
        <v>1</v>
      </c>
      <c r="H81" t="b">
        <f>(ABS(C81)/10)&lt;D81</f>
        <v>1</v>
      </c>
    </row>
    <row r="82" spans="1:8" x14ac:dyDescent="0.35">
      <c r="A82" s="7" t="s">
        <v>32</v>
      </c>
      <c r="B82" t="s">
        <v>8</v>
      </c>
      <c r="C82" s="3">
        <v>1.4368987784664489E-2</v>
      </c>
      <c r="D82" s="3">
        <v>8.0001103761406234E-2</v>
      </c>
      <c r="E82">
        <v>100</v>
      </c>
      <c r="F82" t="b">
        <f>(ABS(C82)/2)&lt;D82</f>
        <v>1</v>
      </c>
      <c r="G82" t="b">
        <f>(ABS(C82)/5)&lt;D82</f>
        <v>1</v>
      </c>
      <c r="H82" t="b">
        <f>(ABS(C82)/10)&lt;D82</f>
        <v>1</v>
      </c>
    </row>
    <row r="83" spans="1:8" x14ac:dyDescent="0.35">
      <c r="A83" t="s">
        <v>35</v>
      </c>
      <c r="B83" t="s">
        <v>25</v>
      </c>
      <c r="C83" s="3">
        <v>0.85035895746924317</v>
      </c>
      <c r="D83" s="3">
        <v>0.12716029474213711</v>
      </c>
      <c r="E83">
        <v>150</v>
      </c>
      <c r="F83" t="b">
        <f>(ABS(C83)/2)&lt;D83</f>
        <v>0</v>
      </c>
      <c r="G83" t="b">
        <f>(ABS(C83)/5)&lt;D83</f>
        <v>0</v>
      </c>
      <c r="H83" t="b">
        <f>(ABS(C83)/10)&lt;D83</f>
        <v>1</v>
      </c>
    </row>
    <row r="84" spans="1:8" x14ac:dyDescent="0.35">
      <c r="A84" t="s">
        <v>35</v>
      </c>
      <c r="B84" t="s">
        <v>22</v>
      </c>
      <c r="C84" s="3">
        <v>0.79555678815900321</v>
      </c>
      <c r="D84" s="3">
        <v>0.14676540804615609</v>
      </c>
      <c r="E84">
        <v>11000</v>
      </c>
      <c r="F84" t="b">
        <f>(ABS(C84)/2)&lt;D84</f>
        <v>0</v>
      </c>
      <c r="G84" t="b">
        <f>(ABS(C84)/5)&lt;D84</f>
        <v>0</v>
      </c>
      <c r="H84" t="b">
        <f>(ABS(C84)/10)&lt;D84</f>
        <v>1</v>
      </c>
    </row>
    <row r="85" spans="1:8" x14ac:dyDescent="0.35">
      <c r="A85" t="s">
        <v>35</v>
      </c>
      <c r="B85" t="s">
        <v>26</v>
      </c>
      <c r="C85" s="3">
        <v>0.78583409745781108</v>
      </c>
      <c r="D85" s="3">
        <v>0.14933499141536119</v>
      </c>
      <c r="E85">
        <v>150</v>
      </c>
      <c r="F85" t="b">
        <f>(ABS(C85)/2)&lt;D85</f>
        <v>0</v>
      </c>
      <c r="G85" t="b">
        <f>(ABS(C85)/5)&lt;D85</f>
        <v>0</v>
      </c>
      <c r="H85" t="b">
        <f>(ABS(C85)/10)&lt;D85</f>
        <v>1</v>
      </c>
    </row>
    <row r="86" spans="1:8" x14ac:dyDescent="0.35">
      <c r="A86" t="s">
        <v>35</v>
      </c>
      <c r="B86" t="s">
        <v>24</v>
      </c>
      <c r="C86" s="3">
        <v>0.68597499970185205</v>
      </c>
      <c r="D86" s="3">
        <v>0.12249312691917839</v>
      </c>
      <c r="E86">
        <v>150</v>
      </c>
      <c r="F86" t="b">
        <f>(ABS(C86)/2)&lt;D86</f>
        <v>0</v>
      </c>
      <c r="G86" t="b">
        <f>(ABS(C86)/5)&lt;D86</f>
        <v>0</v>
      </c>
      <c r="H86" t="b">
        <f>(ABS(C86)/10)&lt;D86</f>
        <v>1</v>
      </c>
    </row>
    <row r="87" spans="1:8" x14ac:dyDescent="0.35">
      <c r="A87" t="s">
        <v>35</v>
      </c>
      <c r="B87" t="s">
        <v>21</v>
      </c>
      <c r="C87" s="3">
        <v>0.65870788603116748</v>
      </c>
      <c r="D87" s="3">
        <v>0.17395418724393549</v>
      </c>
      <c r="E87">
        <v>12000</v>
      </c>
      <c r="F87" t="b">
        <f>(ABS(C87)/2)&lt;D87</f>
        <v>0</v>
      </c>
      <c r="G87" t="b">
        <f>(ABS(C87)/5)&lt;D87</f>
        <v>1</v>
      </c>
      <c r="H87" t="b">
        <f>(ABS(C87)/10)&lt;D87</f>
        <v>1</v>
      </c>
    </row>
    <row r="88" spans="1:8" x14ac:dyDescent="0.35">
      <c r="A88" t="s">
        <v>35</v>
      </c>
      <c r="B88" t="s">
        <v>23</v>
      </c>
      <c r="C88" s="3">
        <v>0.4341336912836925</v>
      </c>
      <c r="D88" s="3">
        <v>0.26251776324865023</v>
      </c>
      <c r="E88">
        <v>150</v>
      </c>
      <c r="F88" t="b">
        <f>(ABS(C88)/2)&lt;D88</f>
        <v>1</v>
      </c>
      <c r="G88" t="b">
        <f>(ABS(C88)/5)&lt;D88</f>
        <v>1</v>
      </c>
      <c r="H88" t="b">
        <f>(ABS(C88)/10)&lt;D88</f>
        <v>1</v>
      </c>
    </row>
  </sheetData>
  <autoFilter ref="A1:H88" xr:uid="{00000000-0001-0000-0000-000000000000}">
    <sortState xmlns:xlrd2="http://schemas.microsoft.com/office/spreadsheetml/2017/richdata2" ref="A2:H88">
      <sortCondition ref="A1:A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Siim Sepp</cp:lastModifiedBy>
  <dcterms:created xsi:type="dcterms:W3CDTF">2025-07-11T09:57:56Z</dcterms:created>
  <dcterms:modified xsi:type="dcterms:W3CDTF">2025-07-11T11:17:48Z</dcterms:modified>
</cp:coreProperties>
</file>