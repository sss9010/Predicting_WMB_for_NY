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im Sepp\NY_WMBCL\OREI Genotyping\"/>
    </mc:Choice>
  </mc:AlternateContent>
  <xr:revisionPtr revIDLastSave="0" documentId="13_ncr:1_{402D9D4B-00DB-4070-BA64-92D810A7B411}" xr6:coauthVersionLast="47" xr6:coauthVersionMax="47" xr10:uidLastSave="{00000000-0000-0000-0000-000000000000}"/>
  <bookViews>
    <workbookView xWindow="10" yWindow="10" windowWidth="19180" windowHeight="10060" xr2:uid="{00000000-000D-0000-FFFF-FFFF00000000}"/>
  </bookViews>
  <sheets>
    <sheet name="Sheet1" sheetId="1" r:id="rId1"/>
  </sheets>
  <definedNames>
    <definedName name="_xlnm._FilterDatabase" localSheetId="0" hidden="1">Sheet1!$A$1:$AH$1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H34" i="1"/>
  <c r="H32" i="1"/>
  <c r="G33" i="1"/>
  <c r="G34" i="1"/>
  <c r="G32" i="1"/>
</calcChain>
</file>

<file path=xl/sharedStrings.xml><?xml version="1.0" encoding="utf-8"?>
<sst xmlns="http://schemas.openxmlformats.org/spreadsheetml/2006/main" count="203" uniqueCount="104">
  <si>
    <t>ID</t>
  </si>
  <si>
    <t>AA</t>
  </si>
  <si>
    <t>Aa</t>
  </si>
  <si>
    <t>aa</t>
  </si>
  <si>
    <t>missing</t>
  </si>
  <si>
    <t>BOPA1_3689-1101</t>
  </si>
  <si>
    <t>JHI-Hv50k-2016-54264</t>
  </si>
  <si>
    <t>JHI-Hv50k-2016-73697</t>
  </si>
  <si>
    <t>JHI-Hv50k-2016-73780</t>
  </si>
  <si>
    <t>JHI-Hv50k-2016-73868</t>
  </si>
  <si>
    <t>JHI-Hv50k-2016-89308</t>
  </si>
  <si>
    <t>JHI-Hv50k-2016-99945</t>
  </si>
  <si>
    <t>JHI-Hv50k-2016-156842</t>
  </si>
  <si>
    <t>JHI-Hv50k-2016-198312</t>
  </si>
  <si>
    <t>JHI-Hv50k-2016-228853</t>
  </si>
  <si>
    <t>JHI-Hv50k-2016-229031</t>
  </si>
  <si>
    <t>JHI-Hv50k-2016-229089</t>
  </si>
  <si>
    <t>JHI-Hv50k-2016-231536</t>
  </si>
  <si>
    <t>JHI-Hv50k-2016-308584</t>
  </si>
  <si>
    <t>JHI-Hv50k-2016-311383</t>
  </si>
  <si>
    <t>JHI-Hv50k-2016-311497</t>
  </si>
  <si>
    <t>JHI-Hv50k-2016-311960</t>
  </si>
  <si>
    <t>BOPA1_5004-375</t>
  </si>
  <si>
    <t>SCRI_RS_120501</t>
  </si>
  <si>
    <t>SCRI_RS_121526</t>
  </si>
  <si>
    <t>JHI-Hv50k-2016-367342</t>
  </si>
  <si>
    <t>SCRI_RS_10702</t>
  </si>
  <si>
    <t>JHI-Hv50k-2016-408820</t>
  </si>
  <si>
    <t>JHI-Hv50k-2016-412322</t>
  </si>
  <si>
    <t>JHI-Hv50k-2016-457496</t>
  </si>
  <si>
    <t>JHI-Hv50k-2016-463406</t>
  </si>
  <si>
    <t>JHI-Hv50k-2016-513498</t>
  </si>
  <si>
    <t>5H</t>
  </si>
  <si>
    <t>GTACCCAGACATGCCGGGGGCCGCGCCGGACTCCTGGAACATGGAGGAGCACGCGGTGACGCCGTGCGCGAGCTGGTGGAGCTTCTTGCCGCCGTAGTAGTCGACGAGGACGTGAATCTG[A/G]AGCATGTGGCGGATGGTCTGCAGCGTGCGGCCGCCGCCGGCGAGGCTGCCCATGTCGCCGTTGGCSACGACGAGGACGGTGATGGTGCGGCGCTTGTTGATGTCCTGCGCCAGCCGCGTC</t>
  </si>
  <si>
    <t>A</t>
  </si>
  <si>
    <t>G</t>
  </si>
  <si>
    <t>_</t>
  </si>
  <si>
    <t>Germination Energy</t>
  </si>
  <si>
    <t>AGTTTGGCGATGTGCTGAATCCTACTAGCTCTGAATATGATAAACCTGTTGTGGATCAAA[T/C]TGATCGTGGAGTGACTGCCTTGAAAAATGATGCGATCAACATTGATAATGGGATGAACAT</t>
  </si>
  <si>
    <t>T</t>
  </si>
  <si>
    <t>C</t>
  </si>
  <si>
    <t>4H</t>
  </si>
  <si>
    <t>AAACAAGTTAATTTTGACATGACATATTTTGCAAACATTAATACAAGATGGTGAAAATCA[T/G]AAAGAGACCAYCTGAACAGTCAGGAAGTTGCTTTCAGTGGAAGGGAGGAGGTGGACGGNA</t>
  </si>
  <si>
    <t>Germination Energy, Germination Energy, Germination Index, Germination Energy, Germination Energy_5D</t>
  </si>
  <si>
    <t>TGATGTGCCCCGAATCCACTGTGCTAGTGTATTGTCGCTGCTCTAACTAACCATTATTCC[T/C]TTCACCAGTGGCGGGTCAATACTAGGTGRCAAGGATGCTCATCAACGGTACAGGTCACTT</t>
  </si>
  <si>
    <t>2H</t>
  </si>
  <si>
    <t>AACAGACTAGTATACTTGCCATGCTATTTGGATGCCGTTCCCCACATCGATCCGGCCTCC[A/G]CTCGCTTGGACTCTTTCCTCTTCGATGCCGACGAYGSAGGAAAATTCCAASCAAATGTCC</t>
  </si>
  <si>
    <t>Germination Energy, Germination Index, Germination Energy, Germination Index_5D, Germination Energy</t>
  </si>
  <si>
    <t>AATAAGCCAACGATACATAGATGAACAAGAATGATAACATGCTTATTCACTAGTTCACTT[A/T]TTCAATCACTGGGTCATTGGTTGAACAACAGATCATAGACATGGTACAAATCTAGAAAAG</t>
  </si>
  <si>
    <t>Germination Energy, Gerrmination Index, Germination Energyrmination Index_5D, Germination Energy</t>
  </si>
  <si>
    <t>TGATTTTTTGTTTAATATCCCTCTATATAGACATCACTGGAAGGTATTTGATGTTAACAC[A/C]TTCTGAATTTTCTAGTAAGTTGATGGATCTGGAGGCCCTAACAAAATGGAATATTTAATA</t>
  </si>
  <si>
    <t>Germination Energy,Germination Energy_5D</t>
  </si>
  <si>
    <t>GAACACCAGCGCGTTGAAGTAAGCCGCGGACGCAAYCGCAAGCTGCGAAAATGCCGCACA[A/T]AGGCTCTTCATGGTGTAAGGGGCCTCATCGTAGAAGAACTCCATCATGCCGATTCCTGAG</t>
  </si>
  <si>
    <t>Germination Energy,Germination Index, Germination Energy, Germination Index_5D</t>
  </si>
  <si>
    <t>3H</t>
  </si>
  <si>
    <t>TTCAAGGATTAACAGTAATCATTTATACCAATTCCACAGTGCAATCATGATTGGTCGACA[T/G]ATAATTAAGGGAAGCAAAAGGCTTACTTTGTTGCTGACCATATCATGATATCATACTCTG</t>
  </si>
  <si>
    <t>Germination Energy_5D</t>
  </si>
  <si>
    <t>7H</t>
  </si>
  <si>
    <t>ATATTCTCAATCTCMTTGCCCRGATCAAAGCATATCCAAGTCACGGTTTAGGGTTGTAAT[A/C]TCATGTGCTCAAGAACACAAGCATTTTCCAAGATACAACACACAAGCATGTGTAAGCCGT</t>
  </si>
  <si>
    <t>Germination Energyrmination Energy,Germination Energy, Gerrmination Energy, Germination Index,Germination Energy, Germination Energy_5D,Germination Energy, Gerrmination Energy, Germination Index_5D</t>
  </si>
  <si>
    <t>AAGCATTAGTTTAATACCACTGGGTCGGGCATCAGAACTATTGAGTTAAATAGACTCAAA[T/C]TGAAAAAGAACCAGACGTGGGAAGCAAGCAAGAAAAAATAAARTACCTGAAGTCATTCTC</t>
  </si>
  <si>
    <t>Height</t>
  </si>
  <si>
    <t>1H</t>
  </si>
  <si>
    <t>ACGACTGAAGTTCTTTGCTGCTGCTTTATCAGCAATGGYCTGCTGCTGCTTAAATTAACMTTTCTTGTACTAATCACTACCAGATGTTACAATACCTATAGAGCGAGCTTGTTATGTGCT[A/G]TACTGCTCGGCTGATGCTGCTGAGCTTAAGTCCATTCCCTTGATGTGTAATTACATGCCGATCGGGATAACCTTTGCTTCGATCAGGCTGTTTCCATCCAATAATCAAGCCATGTTTTAT</t>
  </si>
  <si>
    <t>Long term germiation viability, may have to do with susecptability of seed to bacterial diseases on seed coat/hull</t>
  </si>
  <si>
    <t>ACTACGGAGTATTTCAGTGGGAAATCTCAAGCACATGGTTTCTCACGGAATTTTAAGTTT[A/C]CTCGTTTTCTAGTGACACCAAGCATTGTTTACGAGCAAAAGAGCTGTAGTTTTGACCTGT</t>
  </si>
  <si>
    <t>AGCATACTATCATCATTACTAACTNAATATGTTGAAAATTCAACTCCCCATTGCATGGCA[T/C]ACGTTACAAAATTTCTCAAGATAAACCAAAGTGCACTAAACAGGTAAAATAGAGCTCAAA</t>
  </si>
  <si>
    <t>6H</t>
  </si>
  <si>
    <t>TAATTTTTGTTCTCTGTCATATGGGCTTTNTTGTTGTTACCAATATWTTTTTTTGTATCT[T/C]TCCCTTAGCTGATAAATACGGAGTCACTAATGTGTTAACTTGATCATTTAATGGCAGATA</t>
  </si>
  <si>
    <t>GCCAGAGATGCCTCCTGGATCCACGAGTGATGAGGTATGGAAGACACCAACACAGCCATC[A/G]AAAGCTCGGTGCAAGCTCTCTGGATCCATGACATTTGCCATAATAGTCCAGACCCCATCC</t>
  </si>
  <si>
    <t>Maximum Germiantion rate</t>
  </si>
  <si>
    <t>AGCAGATCAGCAACAGAGAAGGGGTATGGATTTTACCTGGTTAGTTGCTCTTTTGTATAT[A/G]TCAAGGGCCCTAACAGCGTCATTTCTTTGCATTTCAAAGAACTGCAACAGGTAATAAGGT</t>
  </si>
  <si>
    <t>Rate of germination percentage gain as dormancy is lost</t>
  </si>
  <si>
    <t>CGCAATGAATAAAGCAGCTAATAAACCACYAGCCATTTCTCTCTCATTCTCGTTTYTGTT[C/G]CGTGAAGATTATCACTCCCGCTGCTCCTTGTACTTTCTGAAGACTACATCTTTGACTTGC</t>
  </si>
  <si>
    <t>Time until 90% germination in three days from PM</t>
  </si>
  <si>
    <t>AGTGTTTTCATGGAAYTGAAATCGAAATCCTAAGCAACGGAAAGCCTCCCAAAGGAGCAC[A/G]GGAGATGCAAGTTCTAATAAACAGAGTAGGCCTTCCGAAAGAGGGACAGGGGCTGGAGGA</t>
  </si>
  <si>
    <t>AAGGTGTTGGGTTTTGCAGTGACGAACTTGAAATCCAAAGCAACCATTATGACAGAAATG[A/G]TCRAACCTGTGACAAAGCAAACAGCACTCCCCATCCACATCGTCGTGCGATAGCTCATAT</t>
  </si>
  <si>
    <t>HvAlaAT1/SD1</t>
  </si>
  <si>
    <t>long-term seed dormancy</t>
  </si>
  <si>
    <t>ASGAGTGCAATGCCCGGTTATGTAATACTATGGGAGAGTAGAGAAATAATTGAAATTGGC[C/G]GTTGACCTCCTGATGTTTGGAGTGCTGGAGAAGATGAATGCAATATGCAACTTTCTATTA</t>
  </si>
  <si>
    <t>HvISA3</t>
  </si>
  <si>
    <t>Isoamylase 3: Might have some association with dormancy, of interest for food purposes</t>
  </si>
  <si>
    <t>CAATTTTTCGCCTGGGATTCTCTACCCAACCGAAGAGACCGTGATTCCTCGCTGCTTGGT[A/G]ATCCCAATTTTGTTTATTTTTTTGGCTGGGCTCATTATTACTCACTGGCTTGTGCTATAG</t>
  </si>
  <si>
    <t>HvMKK3/SD2</t>
  </si>
  <si>
    <t>distinguish dormant allele from non-dormant alleles</t>
  </si>
  <si>
    <t>ATCAAAATCAATCTTCCACTGTCCACAACAGTCCATCCTATTCTCATAACCAGAATGCAC[T/C]ATCCAATGTCCAGAGCCGCCCATCCCATTTGCAAAACCATAACCCATCTCCCGTTGCCCA</t>
  </si>
  <si>
    <t>GTGGCTAATGAAGGAATCTGCTTAGTTAGTCCGTAGCAGCAGCATAGACTGTCAGGCTCC[A/C]AAAGGTTGAAACTGACTAGATTATTGCTGCCATGATTTATGCATTTTATTTTATGTATGG</t>
  </si>
  <si>
    <t>Distinguish two non-dormant alleles, not as accurate in more diverse germplasm</t>
  </si>
  <si>
    <t>GACGTCGCACCGGCGCCAAGCGCTCCTCCTGCTCCGGCCCCGCGCCACCGAGCAGCAAGG[T/G]CAGGTGCAGCAGCAGGAGGACGACGTGGTGGACGGCAACGTGCTCCCCTACTGCAGCATC</t>
  </si>
  <si>
    <t>CTTCTTGTCTTGAGTCTTGACCCAGCTATGCGAGATCAGCTGTTCTCTCGTTCTGATACA[A/G]CATGGAGGCAGCTGGGCCGTGGGGGTAGTGTGGACATGATCATTCGCCTTCTCCCATGGT</t>
  </si>
  <si>
    <t>Rcs5</t>
  </si>
  <si>
    <t>Rcs5 is a major spot blotch resistance gene; there are likely better 50k markers for Rcs5 but this is the marker Cornell detcted in a dataset of limitd diversity</t>
  </si>
  <si>
    <t>TGACCACATCCGTGGTTGCAACAATACTGCTTATCTACGGGAGAGCTTCACGGACAAATC[A/G]CTCCTGGATARGCTTCATTGTTTCAATGCATTTCCTTTGGGTGGCACTGAATAGCATGAT</t>
  </si>
  <si>
    <t>Rcs8</t>
  </si>
  <si>
    <t>Reaction to spot blotch 8 (3HS)</t>
  </si>
  <si>
    <t>Locus</t>
  </si>
  <si>
    <t>Comment</t>
  </si>
  <si>
    <t>MorexV3_Chr</t>
  </si>
  <si>
    <t>Pos</t>
  </si>
  <si>
    <t>SourceSeq</t>
  </si>
  <si>
    <t>A_allele</t>
  </si>
  <si>
    <t>B_allele</t>
  </si>
  <si>
    <t>different than KASP</t>
  </si>
  <si>
    <t>in KASP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</si>
</sst>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4"/>
  <sheetViews>
    <sheetView tabSelected="1" workbookViewId="0">
      <selection activeCell="G31" sqref="G31"/>
    </sheetView>
  </sheetViews>
  <sheetFormatPr defaultRowHeight="14.5" x14ac:dyDescent="0.35"/>
  <cols>
    <col min="1" max="1" width="20.453125" bestFit="1" customWidth="1"/>
    <col min="7" max="7" width="9.81640625" bestFit="1" customWidth="1"/>
    <col min="8" max="8" width="23.6328125" customWidth="1"/>
    <col min="11" max="11" width="13.08984375" bestFit="1" customWidth="1"/>
  </cols>
  <sheetData>
    <row r="1" spans="1:30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97</v>
      </c>
      <c r="G1" s="2" t="s">
        <v>98</v>
      </c>
      <c r="H1" s="2" t="s">
        <v>99</v>
      </c>
      <c r="I1" s="2" t="s">
        <v>100</v>
      </c>
      <c r="J1" s="2" t="s">
        <v>101</v>
      </c>
      <c r="K1" s="2" t="s">
        <v>95</v>
      </c>
      <c r="L1" s="2" t="s">
        <v>96</v>
      </c>
    </row>
    <row r="2" spans="1:30" x14ac:dyDescent="0.35">
      <c r="A2" t="s">
        <v>5</v>
      </c>
      <c r="B2">
        <v>105</v>
      </c>
      <c r="C2">
        <v>10</v>
      </c>
      <c r="D2">
        <v>1114</v>
      </c>
      <c r="E2">
        <v>60</v>
      </c>
      <c r="F2" t="s">
        <v>62</v>
      </c>
      <c r="G2">
        <v>356521588</v>
      </c>
      <c r="H2" t="s">
        <v>63</v>
      </c>
      <c r="I2" t="s">
        <v>39</v>
      </c>
      <c r="J2" t="s">
        <v>40</v>
      </c>
      <c r="K2" t="s">
        <v>36</v>
      </c>
      <c r="L2" t="s">
        <v>64</v>
      </c>
      <c r="V2" s="2"/>
      <c r="W2" s="2"/>
      <c r="X2" s="2"/>
      <c r="Y2" s="2"/>
      <c r="Z2" s="2"/>
      <c r="AA2" s="2"/>
      <c r="AB2" s="2"/>
      <c r="AC2" s="2"/>
      <c r="AD2" s="2"/>
    </row>
    <row r="3" spans="1:30" x14ac:dyDescent="0.35">
      <c r="A3" t="s">
        <v>6</v>
      </c>
      <c r="B3">
        <v>52</v>
      </c>
      <c r="C3">
        <v>3</v>
      </c>
      <c r="D3">
        <v>1234</v>
      </c>
      <c r="E3">
        <v>0</v>
      </c>
      <c r="F3" t="s">
        <v>62</v>
      </c>
      <c r="G3">
        <v>507631429</v>
      </c>
      <c r="H3" t="s">
        <v>69</v>
      </c>
      <c r="I3" t="s">
        <v>39</v>
      </c>
      <c r="J3" t="s">
        <v>40</v>
      </c>
      <c r="K3" t="s">
        <v>36</v>
      </c>
      <c r="L3" t="s">
        <v>70</v>
      </c>
      <c r="V3" s="2"/>
      <c r="W3" s="2"/>
      <c r="X3" s="2"/>
      <c r="Y3" s="2"/>
      <c r="Z3" s="2"/>
      <c r="AA3" s="2"/>
      <c r="AB3" s="2"/>
      <c r="AC3" s="2"/>
      <c r="AD3" s="2"/>
    </row>
    <row r="4" spans="1:30" x14ac:dyDescent="0.35">
      <c r="A4" t="s">
        <v>7</v>
      </c>
      <c r="B4">
        <v>312</v>
      </c>
      <c r="C4">
        <v>68</v>
      </c>
      <c r="D4">
        <v>818</v>
      </c>
      <c r="E4">
        <v>91</v>
      </c>
      <c r="F4" t="s">
        <v>45</v>
      </c>
      <c r="G4">
        <v>26363248</v>
      </c>
      <c r="H4" t="s">
        <v>46</v>
      </c>
      <c r="I4" t="s">
        <v>34</v>
      </c>
      <c r="J4" t="s">
        <v>35</v>
      </c>
      <c r="K4" t="s">
        <v>36</v>
      </c>
      <c r="L4" t="s">
        <v>47</v>
      </c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35">
      <c r="A5" t="s">
        <v>8</v>
      </c>
      <c r="B5">
        <v>314</v>
      </c>
      <c r="C5">
        <v>145</v>
      </c>
      <c r="D5">
        <v>813</v>
      </c>
      <c r="E5">
        <v>17</v>
      </c>
      <c r="F5" t="s">
        <v>45</v>
      </c>
      <c r="G5">
        <v>26380311</v>
      </c>
      <c r="H5" t="s">
        <v>48</v>
      </c>
      <c r="I5" t="s">
        <v>34</v>
      </c>
      <c r="J5" t="s">
        <v>39</v>
      </c>
      <c r="K5" t="s">
        <v>36</v>
      </c>
      <c r="L5" t="s">
        <v>49</v>
      </c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35">
      <c r="A6" t="s">
        <v>9</v>
      </c>
      <c r="B6">
        <v>1109</v>
      </c>
      <c r="C6">
        <v>5</v>
      </c>
      <c r="D6">
        <v>160</v>
      </c>
      <c r="E6">
        <v>15</v>
      </c>
      <c r="F6" t="s">
        <v>45</v>
      </c>
      <c r="G6">
        <v>26542172</v>
      </c>
      <c r="H6" t="s">
        <v>60</v>
      </c>
      <c r="I6" t="s">
        <v>39</v>
      </c>
      <c r="J6" t="s">
        <v>40</v>
      </c>
      <c r="K6" t="s">
        <v>36</v>
      </c>
      <c r="L6" t="s">
        <v>61</v>
      </c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35">
      <c r="A7" t="s">
        <v>10</v>
      </c>
      <c r="B7">
        <v>505</v>
      </c>
      <c r="C7">
        <v>0</v>
      </c>
      <c r="D7">
        <v>775</v>
      </c>
      <c r="E7">
        <v>9</v>
      </c>
      <c r="F7" t="s">
        <v>45</v>
      </c>
      <c r="G7">
        <v>133602309</v>
      </c>
      <c r="H7" t="s">
        <v>65</v>
      </c>
      <c r="I7" t="s">
        <v>34</v>
      </c>
      <c r="J7" t="s">
        <v>40</v>
      </c>
      <c r="K7" t="s">
        <v>36</v>
      </c>
      <c r="L7" t="s">
        <v>64</v>
      </c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35">
      <c r="A8" t="s">
        <v>11</v>
      </c>
      <c r="B8">
        <v>897</v>
      </c>
      <c r="C8">
        <v>15</v>
      </c>
      <c r="D8">
        <v>356</v>
      </c>
      <c r="E8">
        <v>21</v>
      </c>
      <c r="F8" t="s">
        <v>45</v>
      </c>
      <c r="G8">
        <v>514612781</v>
      </c>
      <c r="H8" t="s">
        <v>66</v>
      </c>
      <c r="I8" t="s">
        <v>34</v>
      </c>
      <c r="J8" t="s">
        <v>35</v>
      </c>
      <c r="K8" t="s">
        <v>36</v>
      </c>
      <c r="L8" t="s">
        <v>64</v>
      </c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35">
      <c r="A9" t="s">
        <v>13</v>
      </c>
      <c r="B9">
        <v>53</v>
      </c>
      <c r="C9">
        <v>1</v>
      </c>
      <c r="D9">
        <v>1233</v>
      </c>
      <c r="E9">
        <v>2</v>
      </c>
      <c r="F9" t="s">
        <v>54</v>
      </c>
      <c r="G9">
        <v>533612801</v>
      </c>
      <c r="H9" t="s">
        <v>55</v>
      </c>
      <c r="I9" t="s">
        <v>39</v>
      </c>
      <c r="J9" t="s">
        <v>35</v>
      </c>
      <c r="K9" t="s">
        <v>36</v>
      </c>
      <c r="L9" t="s">
        <v>56</v>
      </c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35">
      <c r="A10" t="s">
        <v>14</v>
      </c>
      <c r="B10">
        <v>658</v>
      </c>
      <c r="C10">
        <v>59</v>
      </c>
      <c r="D10">
        <v>520</v>
      </c>
      <c r="E10">
        <v>52</v>
      </c>
      <c r="F10" t="s">
        <v>41</v>
      </c>
      <c r="G10">
        <v>8795505</v>
      </c>
      <c r="H10" t="s">
        <v>42</v>
      </c>
      <c r="I10" t="s">
        <v>39</v>
      </c>
      <c r="J10" t="s">
        <v>35</v>
      </c>
      <c r="K10" t="s">
        <v>36</v>
      </c>
      <c r="L10" t="s">
        <v>43</v>
      </c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35">
      <c r="A11" t="s">
        <v>15</v>
      </c>
      <c r="B11">
        <v>269</v>
      </c>
      <c r="C11">
        <v>74</v>
      </c>
      <c r="D11">
        <v>293</v>
      </c>
      <c r="E11">
        <v>653</v>
      </c>
      <c r="F11" t="s">
        <v>41</v>
      </c>
      <c r="G11">
        <v>9090993</v>
      </c>
      <c r="H11" t="s">
        <v>52</v>
      </c>
      <c r="I11" t="s">
        <v>39</v>
      </c>
      <c r="J11" t="s">
        <v>34</v>
      </c>
      <c r="K11" t="s">
        <v>36</v>
      </c>
      <c r="L11" t="s">
        <v>53</v>
      </c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35">
      <c r="A12" t="s">
        <v>16</v>
      </c>
      <c r="B12">
        <v>155</v>
      </c>
      <c r="C12">
        <v>24</v>
      </c>
      <c r="D12">
        <v>1034</v>
      </c>
      <c r="E12">
        <v>76</v>
      </c>
      <c r="F12" t="s">
        <v>41</v>
      </c>
      <c r="G12">
        <v>9349182</v>
      </c>
      <c r="H12" t="s">
        <v>50</v>
      </c>
      <c r="I12" t="s">
        <v>39</v>
      </c>
      <c r="J12" t="s">
        <v>35</v>
      </c>
      <c r="K12" t="s">
        <v>36</v>
      </c>
      <c r="L12" t="s">
        <v>51</v>
      </c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35">
      <c r="A13" t="s">
        <v>17</v>
      </c>
      <c r="B13">
        <v>379</v>
      </c>
      <c r="C13">
        <v>0</v>
      </c>
      <c r="D13">
        <v>741</v>
      </c>
      <c r="E13">
        <v>169</v>
      </c>
      <c r="F13" t="s">
        <v>41</v>
      </c>
      <c r="G13">
        <v>17666492</v>
      </c>
      <c r="H13" t="s">
        <v>73</v>
      </c>
      <c r="I13" t="s">
        <v>35</v>
      </c>
      <c r="J13" t="s">
        <v>40</v>
      </c>
      <c r="K13" t="s">
        <v>36</v>
      </c>
      <c r="L13" t="s">
        <v>74</v>
      </c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35">
      <c r="A14" t="s">
        <v>20</v>
      </c>
      <c r="B14">
        <v>328</v>
      </c>
      <c r="C14">
        <v>22</v>
      </c>
      <c r="D14">
        <v>929</v>
      </c>
      <c r="E14">
        <v>10</v>
      </c>
      <c r="F14" t="s">
        <v>32</v>
      </c>
      <c r="G14">
        <v>467958293</v>
      </c>
      <c r="H14" t="s">
        <v>44</v>
      </c>
      <c r="I14" t="s">
        <v>39</v>
      </c>
      <c r="J14" t="s">
        <v>40</v>
      </c>
      <c r="K14" t="s">
        <v>36</v>
      </c>
      <c r="L14" t="s">
        <v>43</v>
      </c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35">
      <c r="A15" t="s">
        <v>21</v>
      </c>
      <c r="B15">
        <v>559</v>
      </c>
      <c r="C15">
        <v>0</v>
      </c>
      <c r="D15">
        <v>721</v>
      </c>
      <c r="E15">
        <v>9</v>
      </c>
      <c r="F15" t="s">
        <v>32</v>
      </c>
      <c r="G15">
        <v>470053826</v>
      </c>
      <c r="H15" t="s">
        <v>38</v>
      </c>
      <c r="I15" t="s">
        <v>39</v>
      </c>
      <c r="J15" t="s">
        <v>40</v>
      </c>
      <c r="K15" t="s">
        <v>36</v>
      </c>
      <c r="L15" t="s">
        <v>37</v>
      </c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35">
      <c r="A16" t="s">
        <v>22</v>
      </c>
      <c r="B16">
        <v>92</v>
      </c>
      <c r="C16">
        <v>102</v>
      </c>
      <c r="D16">
        <v>1071</v>
      </c>
      <c r="E16">
        <v>24</v>
      </c>
      <c r="F16" t="s">
        <v>32</v>
      </c>
      <c r="G16">
        <v>485247246</v>
      </c>
      <c r="H16" t="s">
        <v>33</v>
      </c>
      <c r="I16" t="s">
        <v>34</v>
      </c>
      <c r="J16" t="s">
        <v>35</v>
      </c>
      <c r="K16" t="s">
        <v>36</v>
      </c>
      <c r="L16" t="s">
        <v>37</v>
      </c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35">
      <c r="A17" t="s">
        <v>27</v>
      </c>
      <c r="B17">
        <v>791</v>
      </c>
      <c r="C17">
        <v>12</v>
      </c>
      <c r="D17">
        <v>418</v>
      </c>
      <c r="E17">
        <v>68</v>
      </c>
      <c r="F17" t="s">
        <v>67</v>
      </c>
      <c r="G17">
        <v>464406639</v>
      </c>
      <c r="H17" t="s">
        <v>75</v>
      </c>
      <c r="I17" t="s">
        <v>39</v>
      </c>
      <c r="J17" t="s">
        <v>40</v>
      </c>
      <c r="K17" t="s">
        <v>36</v>
      </c>
      <c r="L17" t="s">
        <v>74</v>
      </c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35">
      <c r="A18" t="s">
        <v>28</v>
      </c>
      <c r="B18">
        <v>501</v>
      </c>
      <c r="C18">
        <v>10</v>
      </c>
      <c r="D18">
        <v>738</v>
      </c>
      <c r="E18">
        <v>40</v>
      </c>
      <c r="F18" t="s">
        <v>67</v>
      </c>
      <c r="G18">
        <v>492098977</v>
      </c>
      <c r="H18" t="s">
        <v>68</v>
      </c>
      <c r="I18" t="s">
        <v>34</v>
      </c>
      <c r="J18" t="s">
        <v>35</v>
      </c>
      <c r="K18" t="s">
        <v>36</v>
      </c>
      <c r="L18" t="s">
        <v>64</v>
      </c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35">
      <c r="A19" t="s">
        <v>30</v>
      </c>
      <c r="B19">
        <v>484</v>
      </c>
      <c r="C19">
        <v>98</v>
      </c>
      <c r="D19">
        <v>629</v>
      </c>
      <c r="E19">
        <v>78</v>
      </c>
      <c r="F19" t="s">
        <v>57</v>
      </c>
      <c r="G19">
        <v>52923718</v>
      </c>
      <c r="H19" t="s">
        <v>71</v>
      </c>
      <c r="I19" t="s">
        <v>39</v>
      </c>
      <c r="J19" t="s">
        <v>40</v>
      </c>
      <c r="K19" t="s">
        <v>36</v>
      </c>
      <c r="L19" t="s">
        <v>72</v>
      </c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35">
      <c r="A20" t="s">
        <v>31</v>
      </c>
      <c r="B20">
        <v>609</v>
      </c>
      <c r="C20">
        <v>194</v>
      </c>
      <c r="D20">
        <v>420</v>
      </c>
      <c r="E20">
        <v>66</v>
      </c>
      <c r="F20" t="s">
        <v>57</v>
      </c>
      <c r="G20">
        <v>618284903</v>
      </c>
      <c r="H20" t="s">
        <v>58</v>
      </c>
      <c r="I20" t="s">
        <v>39</v>
      </c>
      <c r="J20" t="s">
        <v>35</v>
      </c>
      <c r="K20" t="s">
        <v>36</v>
      </c>
      <c r="L20" t="s">
        <v>59</v>
      </c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35">
      <c r="A21" s="3" t="s">
        <v>18</v>
      </c>
      <c r="B21" s="3">
        <v>204</v>
      </c>
      <c r="C21" s="3">
        <v>0</v>
      </c>
      <c r="D21" s="3">
        <v>1063</v>
      </c>
      <c r="E21" s="3">
        <v>22</v>
      </c>
      <c r="F21" s="3" t="s">
        <v>32</v>
      </c>
      <c r="G21" s="3">
        <v>435635555</v>
      </c>
      <c r="H21" s="3" t="s">
        <v>76</v>
      </c>
      <c r="I21" s="3" t="s">
        <v>34</v>
      </c>
      <c r="J21" s="3" t="s">
        <v>35</v>
      </c>
      <c r="K21" s="3" t="s">
        <v>77</v>
      </c>
      <c r="L21" t="s">
        <v>78</v>
      </c>
      <c r="O21" t="s">
        <v>102</v>
      </c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35">
      <c r="A22" s="3" t="s">
        <v>19</v>
      </c>
      <c r="B22" s="3">
        <v>416</v>
      </c>
      <c r="C22" s="3">
        <v>10</v>
      </c>
      <c r="D22" s="3">
        <v>826</v>
      </c>
      <c r="E22" s="3">
        <v>37</v>
      </c>
      <c r="F22" s="3" t="s">
        <v>32</v>
      </c>
      <c r="G22" s="3">
        <v>467607918</v>
      </c>
      <c r="H22" s="3" t="s">
        <v>79</v>
      </c>
      <c r="I22" s="3" t="s">
        <v>35</v>
      </c>
      <c r="J22" s="3" t="s">
        <v>40</v>
      </c>
      <c r="K22" s="3" t="s">
        <v>80</v>
      </c>
      <c r="L22" t="s">
        <v>81</v>
      </c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35">
      <c r="A23" s="4" t="s">
        <v>23</v>
      </c>
      <c r="B23" s="4">
        <v>210</v>
      </c>
      <c r="C23" s="4">
        <v>0</v>
      </c>
      <c r="D23" s="4">
        <v>123</v>
      </c>
      <c r="E23" s="4">
        <v>956</v>
      </c>
      <c r="F23" s="3" t="s">
        <v>32</v>
      </c>
      <c r="G23" s="3">
        <v>584088846</v>
      </c>
      <c r="H23" s="3" t="s">
        <v>88</v>
      </c>
      <c r="I23" s="3" t="s">
        <v>34</v>
      </c>
      <c r="J23" s="3" t="s">
        <v>40</v>
      </c>
      <c r="K23" s="3" t="s">
        <v>83</v>
      </c>
      <c r="L23" t="s">
        <v>87</v>
      </c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35">
      <c r="A24" s="3" t="s">
        <v>24</v>
      </c>
      <c r="B24" s="3">
        <v>812</v>
      </c>
      <c r="C24" s="3">
        <v>1</v>
      </c>
      <c r="D24" s="3">
        <v>415</v>
      </c>
      <c r="E24" s="3">
        <v>61</v>
      </c>
      <c r="F24" s="3" t="s">
        <v>32</v>
      </c>
      <c r="G24" s="3">
        <v>584133711</v>
      </c>
      <c r="H24" s="3" t="s">
        <v>86</v>
      </c>
      <c r="I24" s="3" t="s">
        <v>34</v>
      </c>
      <c r="J24" s="3" t="s">
        <v>40</v>
      </c>
      <c r="K24" s="3" t="s">
        <v>83</v>
      </c>
      <c r="L24" t="s">
        <v>87</v>
      </c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35">
      <c r="A25" s="3" t="s">
        <v>25</v>
      </c>
      <c r="B25" s="3">
        <v>591</v>
      </c>
      <c r="C25" s="3">
        <v>103</v>
      </c>
      <c r="D25" s="3">
        <v>574</v>
      </c>
      <c r="E25" s="3">
        <v>21</v>
      </c>
      <c r="F25" s="3" t="s">
        <v>32</v>
      </c>
      <c r="G25" s="3">
        <v>585516163</v>
      </c>
      <c r="H25" s="3" t="s">
        <v>82</v>
      </c>
      <c r="I25" s="3" t="s">
        <v>39</v>
      </c>
      <c r="J25" s="3" t="s">
        <v>40</v>
      </c>
      <c r="K25" s="3" t="s">
        <v>83</v>
      </c>
      <c r="L25" t="s">
        <v>84</v>
      </c>
      <c r="O25" t="s">
        <v>103</v>
      </c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35">
      <c r="A26" s="3" t="s">
        <v>26</v>
      </c>
      <c r="B26" s="3">
        <v>619</v>
      </c>
      <c r="C26" s="3">
        <v>57</v>
      </c>
      <c r="D26" s="3">
        <v>583</v>
      </c>
      <c r="E26" s="3">
        <v>30</v>
      </c>
      <c r="F26" s="3" t="s">
        <v>32</v>
      </c>
      <c r="G26" s="3">
        <v>585527869</v>
      </c>
      <c r="H26" s="3" t="s">
        <v>85</v>
      </c>
      <c r="I26" s="3" t="s">
        <v>39</v>
      </c>
      <c r="J26" s="3" t="s">
        <v>40</v>
      </c>
      <c r="K26" s="3" t="s">
        <v>83</v>
      </c>
      <c r="L26" t="s">
        <v>84</v>
      </c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35">
      <c r="A27" t="s">
        <v>29</v>
      </c>
      <c r="B27">
        <v>21</v>
      </c>
      <c r="C27">
        <v>9</v>
      </c>
      <c r="D27">
        <v>1237</v>
      </c>
      <c r="E27">
        <v>22</v>
      </c>
      <c r="F27" t="s">
        <v>57</v>
      </c>
      <c r="G27">
        <v>32242622</v>
      </c>
      <c r="H27" t="s">
        <v>89</v>
      </c>
      <c r="I27" t="s">
        <v>34</v>
      </c>
      <c r="J27" t="s">
        <v>35</v>
      </c>
      <c r="K27" t="s">
        <v>90</v>
      </c>
      <c r="L27" t="s">
        <v>91</v>
      </c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35">
      <c r="A28" t="s">
        <v>12</v>
      </c>
      <c r="B28">
        <v>356</v>
      </c>
      <c r="C28">
        <v>0</v>
      </c>
      <c r="D28">
        <v>897</v>
      </c>
      <c r="E28">
        <v>36</v>
      </c>
      <c r="F28" t="s">
        <v>54</v>
      </c>
      <c r="G28">
        <v>14020389</v>
      </c>
      <c r="H28" t="s">
        <v>92</v>
      </c>
      <c r="I28" t="s">
        <v>34</v>
      </c>
      <c r="J28" t="s">
        <v>35</v>
      </c>
      <c r="K28" t="s">
        <v>93</v>
      </c>
      <c r="L28" t="s">
        <v>94</v>
      </c>
      <c r="V28" s="2"/>
      <c r="W28" s="2"/>
      <c r="X28" s="2"/>
      <c r="Y28" s="2"/>
      <c r="Z28" s="2"/>
      <c r="AA28" s="2"/>
      <c r="AB28" s="2"/>
      <c r="AC28" s="2"/>
      <c r="AD28" s="2"/>
    </row>
    <row r="32" spans="1:30" x14ac:dyDescent="0.35">
      <c r="G32">
        <f>G23-G24</f>
        <v>-44865</v>
      </c>
      <c r="H32">
        <f>G32/3</f>
        <v>-14955</v>
      </c>
    </row>
    <row r="33" spans="7:8" x14ac:dyDescent="0.35">
      <c r="G33">
        <f>G24-G25</f>
        <v>-1382452</v>
      </c>
      <c r="H33">
        <f t="shared" ref="H33:H34" si="0">G33/3</f>
        <v>-460817.33333333331</v>
      </c>
    </row>
    <row r="34" spans="7:8" x14ac:dyDescent="0.35">
      <c r="G34">
        <f t="shared" ref="G33:G35" si="1">G25-G26</f>
        <v>-11706</v>
      </c>
      <c r="H34">
        <f t="shared" si="0"/>
        <v>-3902</v>
      </c>
    </row>
  </sheetData>
  <autoFilter ref="A1:AH1" xr:uid="{00000000-0001-0000-0000-000000000000}">
    <sortState xmlns:xlrd2="http://schemas.microsoft.com/office/spreadsheetml/2017/richdata2" ref="A2:AH28">
      <sortCondition ref="K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Siim Samuel Sepp</cp:lastModifiedBy>
  <dcterms:created xsi:type="dcterms:W3CDTF">2026-05-07T18:48:21Z</dcterms:created>
  <dcterms:modified xsi:type="dcterms:W3CDTF">2026-05-08T15:19:59Z</dcterms:modified>
</cp:coreProperties>
</file>