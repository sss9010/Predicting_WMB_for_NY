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6819"/>
  <workbookPr autoCompressPictures="0"/>
  <bookViews>
    <workbookView xWindow="4300" yWindow="360" windowWidth="28240" windowHeight="16200"/>
  </bookViews>
  <sheets>
    <sheet name="Table w plot#" sheetId="3" r:id="rId1"/>
    <sheet name="Table" sheetId="2" r:id="rId2"/>
  </sheets>
  <definedNames>
    <definedName name="_xlnm._FilterDatabase" localSheetId="0" hidden="1">'Table w plot#'!$A$1:$V$226</definedName>
  </definedNames>
  <calcPr calcId="140001" refMode="R1C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4" i="3" l="1"/>
  <c r="R135" i="3"/>
  <c r="R145" i="3"/>
  <c r="Q134" i="3"/>
  <c r="Q135" i="3"/>
  <c r="Q145" i="3"/>
  <c r="P134" i="3"/>
  <c r="P135" i="3"/>
  <c r="P145" i="3"/>
  <c r="O134" i="3"/>
  <c r="O135" i="3"/>
  <c r="O145" i="3"/>
  <c r="N134" i="3"/>
  <c r="N135" i="3"/>
  <c r="N145" i="3"/>
  <c r="M134" i="3"/>
  <c r="M135" i="3"/>
  <c r="M145" i="3"/>
  <c r="L134" i="3"/>
  <c r="L135" i="3"/>
  <c r="L145" i="3"/>
  <c r="J134" i="3"/>
  <c r="J135" i="3"/>
  <c r="J145" i="3"/>
  <c r="I134" i="3"/>
  <c r="I135" i="3"/>
  <c r="I145" i="3"/>
  <c r="H134" i="3"/>
  <c r="H135" i="3"/>
  <c r="H145" i="3"/>
  <c r="G134" i="3"/>
  <c r="G135" i="3"/>
  <c r="G145" i="3"/>
  <c r="F134" i="3"/>
  <c r="F135" i="3"/>
  <c r="F145" i="3"/>
  <c r="R144" i="3"/>
  <c r="Q144" i="3"/>
  <c r="P144" i="3"/>
  <c r="O144" i="3"/>
  <c r="N144" i="3"/>
  <c r="M144" i="3"/>
  <c r="L144" i="3"/>
  <c r="J144" i="3"/>
  <c r="I144" i="3"/>
  <c r="H144" i="3"/>
  <c r="G144" i="3"/>
  <c r="F144" i="3"/>
  <c r="R136" i="3"/>
  <c r="Q136" i="3"/>
  <c r="P136" i="3"/>
  <c r="O136" i="3"/>
  <c r="N136" i="3"/>
  <c r="M136" i="3"/>
  <c r="L136" i="3"/>
  <c r="J136" i="3"/>
  <c r="I136" i="3"/>
  <c r="H136" i="3"/>
  <c r="G136" i="3"/>
  <c r="F136" i="3"/>
  <c r="R133" i="3"/>
  <c r="Q133" i="3"/>
  <c r="P133" i="3"/>
  <c r="O133" i="3"/>
  <c r="N133" i="3"/>
  <c r="M133" i="3"/>
  <c r="L133" i="3"/>
  <c r="J133" i="3"/>
  <c r="I133" i="3"/>
  <c r="H133" i="3"/>
  <c r="G133" i="3"/>
  <c r="F133" i="3"/>
  <c r="R132" i="3"/>
  <c r="Q132" i="3"/>
  <c r="P132" i="3"/>
  <c r="O132" i="3"/>
  <c r="N132" i="3"/>
  <c r="M132" i="3"/>
  <c r="L132" i="3"/>
  <c r="J132" i="3"/>
  <c r="I132" i="3"/>
  <c r="H132" i="3"/>
  <c r="G132" i="3"/>
  <c r="F132" i="3"/>
  <c r="V125" i="3"/>
  <c r="T125" i="3"/>
  <c r="V124" i="3"/>
  <c r="T124" i="3"/>
  <c r="V123" i="3"/>
  <c r="T123" i="3"/>
  <c r="V122" i="3"/>
  <c r="T122" i="3"/>
  <c r="V121" i="3"/>
  <c r="T121" i="3"/>
  <c r="V120" i="3"/>
  <c r="T120" i="3"/>
  <c r="V119" i="3"/>
  <c r="T119" i="3"/>
  <c r="V118" i="3"/>
  <c r="T118" i="3"/>
  <c r="V117" i="3"/>
  <c r="T117" i="3"/>
  <c r="V116" i="3"/>
  <c r="T116" i="3"/>
  <c r="V115" i="3"/>
  <c r="T115" i="3"/>
  <c r="V114" i="3"/>
  <c r="T114" i="3"/>
  <c r="V113" i="3"/>
  <c r="T113" i="3"/>
  <c r="V112" i="3"/>
  <c r="T112" i="3"/>
  <c r="V111" i="3"/>
  <c r="T111" i="3"/>
  <c r="V110" i="3"/>
  <c r="T110" i="3"/>
  <c r="V109" i="3"/>
  <c r="T109" i="3"/>
  <c r="V108" i="3"/>
  <c r="T108" i="3"/>
  <c r="V107" i="3"/>
  <c r="T107" i="3"/>
  <c r="V106" i="3"/>
  <c r="T106" i="3"/>
  <c r="V105" i="3"/>
  <c r="T105" i="3"/>
  <c r="V104" i="3"/>
  <c r="T104" i="3"/>
  <c r="V103" i="3"/>
  <c r="T103" i="3"/>
  <c r="V102" i="3"/>
  <c r="T102" i="3"/>
  <c r="V101" i="3"/>
  <c r="T101" i="3"/>
  <c r="V100" i="3"/>
  <c r="T100" i="3"/>
  <c r="V99" i="3"/>
  <c r="T99" i="3"/>
  <c r="V98" i="3"/>
  <c r="T98" i="3"/>
  <c r="V97" i="3"/>
  <c r="T97" i="3"/>
  <c r="V96" i="3"/>
  <c r="T96" i="3"/>
  <c r="V95" i="3"/>
  <c r="T95" i="3"/>
  <c r="V94" i="3"/>
  <c r="T94" i="3"/>
  <c r="V93" i="3"/>
  <c r="T93" i="3"/>
  <c r="V92" i="3"/>
  <c r="T92" i="3"/>
  <c r="V91" i="3"/>
  <c r="T91" i="3"/>
  <c r="V90" i="3"/>
  <c r="T90" i="3"/>
  <c r="V89" i="3"/>
  <c r="T89" i="3"/>
  <c r="V88" i="3"/>
  <c r="T88" i="3"/>
  <c r="V87" i="3"/>
  <c r="T87" i="3"/>
  <c r="V86" i="3"/>
  <c r="T86" i="3"/>
  <c r="V85" i="3"/>
  <c r="T85" i="3"/>
  <c r="V84" i="3"/>
  <c r="T84" i="3"/>
  <c r="V83" i="3"/>
  <c r="T83" i="3"/>
  <c r="V82" i="3"/>
  <c r="T82" i="3"/>
  <c r="V81" i="3"/>
  <c r="T81" i="3"/>
  <c r="V80" i="3"/>
  <c r="T80" i="3"/>
  <c r="V79" i="3"/>
  <c r="T79" i="3"/>
  <c r="V78" i="3"/>
  <c r="T78" i="3"/>
  <c r="V77" i="3"/>
  <c r="T77" i="3"/>
  <c r="V76" i="3"/>
  <c r="T76" i="3"/>
  <c r="V75" i="3"/>
  <c r="T75" i="3"/>
  <c r="V74" i="3"/>
  <c r="T74" i="3"/>
  <c r="V73" i="3"/>
  <c r="T73" i="3"/>
  <c r="V72" i="3"/>
  <c r="T72" i="3"/>
  <c r="V71" i="3"/>
  <c r="T71" i="3"/>
  <c r="V70" i="3"/>
  <c r="T70" i="3"/>
  <c r="V69" i="3"/>
  <c r="T69" i="3"/>
  <c r="V68" i="3"/>
  <c r="T68" i="3"/>
  <c r="V67" i="3"/>
  <c r="T67" i="3"/>
  <c r="V66" i="3"/>
  <c r="T66" i="3"/>
  <c r="V65" i="3"/>
  <c r="T65" i="3"/>
  <c r="V64" i="3"/>
  <c r="T64" i="3"/>
  <c r="V63" i="3"/>
  <c r="T63" i="3"/>
  <c r="V62" i="3"/>
  <c r="T62" i="3"/>
  <c r="V61" i="3"/>
  <c r="T61" i="3"/>
  <c r="V60" i="3"/>
  <c r="T60" i="3"/>
  <c r="V59" i="3"/>
  <c r="T59" i="3"/>
  <c r="V58" i="3"/>
  <c r="T58" i="3"/>
  <c r="V57" i="3"/>
  <c r="T57" i="3"/>
  <c r="V56" i="3"/>
  <c r="T56" i="3"/>
  <c r="V55" i="3"/>
  <c r="T55" i="3"/>
  <c r="V54" i="3"/>
  <c r="T54" i="3"/>
  <c r="V53" i="3"/>
  <c r="T53" i="3"/>
  <c r="V52" i="3"/>
  <c r="T52" i="3"/>
  <c r="V51" i="3"/>
  <c r="T51" i="3"/>
  <c r="V50" i="3"/>
  <c r="T50" i="3"/>
  <c r="V49" i="3"/>
  <c r="T49" i="3"/>
  <c r="V48" i="3"/>
  <c r="T48" i="3"/>
  <c r="V47" i="3"/>
  <c r="T47" i="3"/>
  <c r="V46" i="3"/>
  <c r="T46" i="3"/>
  <c r="V45" i="3"/>
  <c r="T45" i="3"/>
  <c r="V44" i="3"/>
  <c r="T44" i="3"/>
  <c r="V43" i="3"/>
  <c r="T43" i="3"/>
  <c r="V42" i="3"/>
  <c r="T42" i="3"/>
  <c r="V41" i="3"/>
  <c r="T41" i="3"/>
  <c r="V40" i="3"/>
  <c r="T40" i="3"/>
  <c r="V39" i="3"/>
  <c r="T39" i="3"/>
  <c r="V38" i="3"/>
  <c r="T38" i="3"/>
  <c r="V37" i="3"/>
  <c r="T37" i="3"/>
  <c r="V36" i="3"/>
  <c r="T36" i="3"/>
  <c r="V35" i="3"/>
  <c r="T35" i="3"/>
  <c r="V34" i="3"/>
  <c r="T34" i="3"/>
  <c r="V33" i="3"/>
  <c r="T33" i="3"/>
  <c r="V32" i="3"/>
  <c r="T32" i="3"/>
  <c r="V31" i="3"/>
  <c r="T31" i="3"/>
  <c r="V30" i="3"/>
  <c r="T30" i="3"/>
  <c r="V29" i="3"/>
  <c r="T29" i="3"/>
  <c r="V28" i="3"/>
  <c r="T28" i="3"/>
  <c r="V27" i="3"/>
  <c r="T27" i="3"/>
  <c r="V26" i="3"/>
  <c r="T26" i="3"/>
  <c r="V25" i="3"/>
  <c r="T25" i="3"/>
  <c r="V24" i="3"/>
  <c r="T24" i="3"/>
  <c r="V23" i="3"/>
  <c r="T23" i="3"/>
  <c r="V22" i="3"/>
  <c r="T22" i="3"/>
  <c r="V21" i="3"/>
  <c r="T21" i="3"/>
  <c r="V20" i="3"/>
  <c r="T20" i="3"/>
  <c r="V19" i="3"/>
  <c r="T19" i="3"/>
  <c r="V18" i="3"/>
  <c r="T18" i="3"/>
  <c r="V17" i="3"/>
  <c r="T17" i="3"/>
  <c r="V16" i="3"/>
  <c r="T16" i="3"/>
  <c r="V15" i="3"/>
  <c r="T15" i="3"/>
  <c r="V14" i="3"/>
  <c r="T14" i="3"/>
  <c r="V13" i="3"/>
  <c r="T13" i="3"/>
  <c r="V12" i="3"/>
  <c r="T12" i="3"/>
  <c r="V11" i="3"/>
  <c r="T11" i="3"/>
  <c r="V10" i="3"/>
  <c r="T10" i="3"/>
  <c r="V9" i="3"/>
  <c r="T9" i="3"/>
  <c r="V8" i="3"/>
  <c r="T8" i="3"/>
  <c r="V7" i="3"/>
  <c r="T7" i="3"/>
  <c r="V6" i="3"/>
  <c r="T6" i="3"/>
  <c r="P135" i="2"/>
  <c r="O135" i="2"/>
  <c r="N135" i="2"/>
  <c r="M135" i="2"/>
  <c r="L135" i="2"/>
  <c r="K135" i="2"/>
  <c r="J135" i="2"/>
  <c r="H135" i="2"/>
  <c r="G135" i="2"/>
  <c r="F135" i="2"/>
  <c r="E135" i="2"/>
  <c r="P134" i="2"/>
  <c r="O134" i="2"/>
  <c r="N134" i="2"/>
  <c r="M134" i="2"/>
  <c r="L134" i="2"/>
  <c r="K134" i="2"/>
  <c r="J134" i="2"/>
  <c r="H134" i="2"/>
  <c r="G134" i="2"/>
  <c r="F134" i="2"/>
  <c r="E134" i="2"/>
  <c r="P133" i="2"/>
  <c r="O133" i="2"/>
  <c r="N133" i="2"/>
  <c r="M133" i="2"/>
  <c r="L133" i="2"/>
  <c r="K133" i="2"/>
  <c r="J133" i="2"/>
  <c r="H133" i="2"/>
  <c r="G133" i="2"/>
  <c r="F133" i="2"/>
  <c r="E133" i="2"/>
  <c r="P132" i="2"/>
  <c r="O132" i="2"/>
  <c r="N132" i="2"/>
  <c r="M132" i="2"/>
  <c r="L132" i="2"/>
  <c r="K132" i="2"/>
  <c r="J132" i="2"/>
  <c r="H132" i="2"/>
  <c r="G132" i="2"/>
  <c r="F132" i="2"/>
  <c r="E132" i="2"/>
  <c r="D135" i="2"/>
  <c r="D134" i="2"/>
  <c r="D133" i="2"/>
  <c r="D132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D145" i="2"/>
  <c r="F136" i="2"/>
  <c r="J144" i="2"/>
  <c r="L144" i="2"/>
  <c r="E136" i="2"/>
  <c r="K145" i="2"/>
  <c r="M144" i="2"/>
  <c r="O144" i="2"/>
  <c r="D136" i="2"/>
  <c r="G144" i="2"/>
  <c r="H136" i="2"/>
  <c r="N136" i="2"/>
  <c r="P145" i="2"/>
  <c r="H144" i="2"/>
  <c r="J136" i="2"/>
  <c r="K144" i="2"/>
  <c r="M136" i="2"/>
  <c r="N144" i="2"/>
  <c r="O136" i="2"/>
  <c r="D144" i="2"/>
  <c r="E144" i="2"/>
  <c r="F144" i="2"/>
  <c r="G136" i="2"/>
  <c r="E145" i="2"/>
  <c r="P144" i="2"/>
  <c r="F145" i="2"/>
  <c r="G145" i="2"/>
  <c r="H145" i="2"/>
  <c r="J145" i="2"/>
  <c r="K136" i="2"/>
  <c r="L136" i="2"/>
  <c r="L145" i="2"/>
  <c r="M145" i="2"/>
  <c r="N145" i="2"/>
  <c r="O145" i="2"/>
  <c r="P136" i="2"/>
</calcChain>
</file>

<file path=xl/sharedStrings.xml><?xml version="1.0" encoding="utf-8"?>
<sst xmlns="http://schemas.openxmlformats.org/spreadsheetml/2006/main" count="420" uniqueCount="178">
  <si>
    <t>BS616-74</t>
  </si>
  <si>
    <t>Lightning</t>
  </si>
  <si>
    <t>BS712-74</t>
  </si>
  <si>
    <t>17021-1-1</t>
  </si>
  <si>
    <t>BS811-33</t>
  </si>
  <si>
    <t>17021-3-41</t>
  </si>
  <si>
    <t>17022-3-6</t>
  </si>
  <si>
    <t>BS808-4</t>
  </si>
  <si>
    <t>17024-1-42</t>
  </si>
  <si>
    <t>17024-2-7</t>
  </si>
  <si>
    <t>17024-2-30</t>
  </si>
  <si>
    <t>Tepee</t>
  </si>
  <si>
    <t>17024-3-48</t>
  </si>
  <si>
    <t>SCALA</t>
  </si>
  <si>
    <t>17023-3-48</t>
  </si>
  <si>
    <t>17023-2-46</t>
  </si>
  <si>
    <t>17024-2-34</t>
  </si>
  <si>
    <t>17021-2-8</t>
  </si>
  <si>
    <t>17026-3-3</t>
  </si>
  <si>
    <t>BS811-22</t>
  </si>
  <si>
    <t>17025-3-27</t>
  </si>
  <si>
    <t>BS614-31</t>
  </si>
  <si>
    <t>17018-1-10</t>
  </si>
  <si>
    <t>BS812-61</t>
  </si>
  <si>
    <t>BS807-2</t>
  </si>
  <si>
    <t>BS811-43</t>
  </si>
  <si>
    <t>CONRAD MALT CHECK</t>
  </si>
  <si>
    <t>BS814-127</t>
  </si>
  <si>
    <t>BS812-80</t>
  </si>
  <si>
    <t>17024-3-50</t>
  </si>
  <si>
    <t>BS911-114</t>
  </si>
  <si>
    <t>BS814-139</t>
  </si>
  <si>
    <t>17022-1-10</t>
  </si>
  <si>
    <t>17018-1-33</t>
  </si>
  <si>
    <t>17018-1-21</t>
  </si>
  <si>
    <t>BS813-112</t>
  </si>
  <si>
    <t>17018-3-8</t>
  </si>
  <si>
    <t>BS614-34</t>
  </si>
  <si>
    <t>17024-3-16</t>
  </si>
  <si>
    <t>BS812-62</t>
  </si>
  <si>
    <t>BS813-101</t>
  </si>
  <si>
    <t>BS814-124</t>
  </si>
  <si>
    <t>BS812-48</t>
  </si>
  <si>
    <t>17020-3-16</t>
  </si>
  <si>
    <t>BS615-57</t>
  </si>
  <si>
    <t>BS814-121</t>
  </si>
  <si>
    <t>17026-2-10</t>
  </si>
  <si>
    <t>17025-3-28</t>
  </si>
  <si>
    <t>17023-2-35</t>
  </si>
  <si>
    <t>17024-3-37</t>
  </si>
  <si>
    <t>17023-3-26</t>
  </si>
  <si>
    <t>17024-2-45</t>
  </si>
  <si>
    <t>BS811-17</t>
  </si>
  <si>
    <t>BS814-125</t>
  </si>
  <si>
    <t>17022-3-18</t>
  </si>
  <si>
    <t>17024-1-39</t>
  </si>
  <si>
    <t>17025-3-7</t>
  </si>
  <si>
    <t>17024-2-20</t>
  </si>
  <si>
    <t>BS911-72</t>
  </si>
  <si>
    <t>17026-1-4</t>
  </si>
  <si>
    <t>17020-1-2</t>
  </si>
  <si>
    <t>17023-3-13</t>
  </si>
  <si>
    <t>17021-3-47</t>
  </si>
  <si>
    <t>17023-2-44</t>
  </si>
  <si>
    <t>BS613-11</t>
  </si>
  <si>
    <t>17024-2-15</t>
  </si>
  <si>
    <t>BS712-68</t>
  </si>
  <si>
    <t>BS712-70</t>
  </si>
  <si>
    <t>17024-1-25</t>
  </si>
  <si>
    <t>BS712-69</t>
  </si>
  <si>
    <t>BS713-100</t>
  </si>
  <si>
    <t>17023-1-10</t>
  </si>
  <si>
    <t>17021-3-27</t>
  </si>
  <si>
    <t>BS911-71</t>
  </si>
  <si>
    <t>17018-1-6</t>
  </si>
  <si>
    <t>17024-2-33</t>
  </si>
  <si>
    <t>BS710-29</t>
  </si>
  <si>
    <t>17024-3-25</t>
  </si>
  <si>
    <t>17023-3-20</t>
  </si>
  <si>
    <t>BS908-26</t>
  </si>
  <si>
    <t>17025-2-34</t>
  </si>
  <si>
    <t>BS911-70</t>
  </si>
  <si>
    <t>17021-2-2</t>
  </si>
  <si>
    <t>17023-3-41</t>
  </si>
  <si>
    <t>17026-2-7</t>
  </si>
  <si>
    <t>BS616-61</t>
  </si>
  <si>
    <t>17023-3-15</t>
  </si>
  <si>
    <t>BS813-93</t>
  </si>
  <si>
    <t>BS912-135</t>
  </si>
  <si>
    <t>BS715-137</t>
  </si>
  <si>
    <t>17023-3-29</t>
  </si>
  <si>
    <t>17024-2-31</t>
  </si>
  <si>
    <t>17023-3-39</t>
  </si>
  <si>
    <t>17025-1-3</t>
  </si>
  <si>
    <t>BS813-105</t>
  </si>
  <si>
    <t>BS812-50</t>
  </si>
  <si>
    <t>17018-3-15</t>
  </si>
  <si>
    <t>BS710-56</t>
  </si>
  <si>
    <t>BS811-34</t>
  </si>
  <si>
    <t>BS614-27</t>
  </si>
  <si>
    <t>17018-1-7</t>
  </si>
  <si>
    <t>17023-2-19</t>
  </si>
  <si>
    <t>BS911-115</t>
  </si>
  <si>
    <t>BS814-120</t>
  </si>
  <si>
    <t>17018-1-3</t>
  </si>
  <si>
    <t>BS813-98</t>
  </si>
  <si>
    <t>17023-2-31</t>
  </si>
  <si>
    <t>BS811-31</t>
  </si>
  <si>
    <t>17025-1-8</t>
  </si>
  <si>
    <t>BS811-19</t>
  </si>
  <si>
    <t>17024-2-26</t>
  </si>
  <si>
    <t>17024-1-13</t>
  </si>
  <si>
    <t>17023-3-24</t>
  </si>
  <si>
    <t>17025-1-4</t>
  </si>
  <si>
    <t>BS814-119</t>
  </si>
  <si>
    <t>BS911-88</t>
  </si>
  <si>
    <t>BS911-122</t>
  </si>
  <si>
    <t>17018-3-16</t>
  </si>
  <si>
    <t>BS814-138</t>
  </si>
  <si>
    <t>BS810-11</t>
  </si>
  <si>
    <t>BS710-42</t>
  </si>
  <si>
    <t>Lab No.</t>
  </si>
  <si>
    <t>Variety or Selection</t>
  </si>
  <si>
    <t>Rowed</t>
  </si>
  <si>
    <t>Kernel</t>
  </si>
  <si>
    <t>Weight</t>
  </si>
  <si>
    <t>(mg)</t>
  </si>
  <si>
    <t>on</t>
  </si>
  <si>
    <t>6/64"</t>
  </si>
  <si>
    <t>(%)</t>
  </si>
  <si>
    <t>Barley</t>
  </si>
  <si>
    <t>Color</t>
  </si>
  <si>
    <t>(Agtron)</t>
  </si>
  <si>
    <t>Malt</t>
  </si>
  <si>
    <t>Extract</t>
  </si>
  <si>
    <t>Wort</t>
  </si>
  <si>
    <t>Clarity</t>
  </si>
  <si>
    <t>Protein</t>
  </si>
  <si>
    <t>S/T</t>
  </si>
  <si>
    <t>DP</t>
  </si>
  <si>
    <t>Alpha-</t>
  </si>
  <si>
    <t>amylase</t>
  </si>
  <si>
    <t>Beta-</t>
  </si>
  <si>
    <t>glucan</t>
  </si>
  <si>
    <t>(ppm)</t>
  </si>
  <si>
    <t>FAN</t>
  </si>
  <si>
    <t>Adjunct</t>
  </si>
  <si>
    <t>Quality</t>
  </si>
  <si>
    <t>Score</t>
  </si>
  <si>
    <t>Overall</t>
  </si>
  <si>
    <t>Rank</t>
  </si>
  <si>
    <t>All Malt</t>
  </si>
  <si>
    <t>Minima</t>
  </si>
  <si>
    <t>Maxima</t>
  </si>
  <si>
    <t>Means</t>
  </si>
  <si>
    <t>Standard Deviations</t>
  </si>
  <si>
    <t>Coefficients of Variation</t>
  </si>
  <si>
    <t>Neg Std Dev</t>
  </si>
  <si>
    <t>Pos Std Dev</t>
  </si>
  <si>
    <t>Malt Check Data are Excluded from Rank Sorting and Statistics</t>
  </si>
  <si>
    <t>Table Data Flagged by an Asterisk Exceed the Mean by +/- 3 Standard Deviations and are Excluded from Statistics</t>
  </si>
  <si>
    <t>For Wort Clarity - 1 = clear, 2 = slightly hazy, 3 = hazy</t>
  </si>
  <si>
    <r>
      <t>(</t>
    </r>
    <r>
      <rPr>
        <sz val="9"/>
        <color theme="1"/>
        <rFont val="Calibri"/>
        <family val="2"/>
      </rPr>
      <t>°</t>
    </r>
    <r>
      <rPr>
        <sz val="9"/>
        <color theme="1"/>
        <rFont val="Aptos Narrow"/>
        <family val="2"/>
        <scheme val="minor"/>
      </rPr>
      <t>ASBC)</t>
    </r>
  </si>
  <si>
    <r>
      <t>(20</t>
    </r>
    <r>
      <rPr>
        <sz val="9"/>
        <color theme="1"/>
        <rFont val="Calibri"/>
        <family val="2"/>
      </rPr>
      <t>°</t>
    </r>
    <r>
      <rPr>
        <sz val="9"/>
        <color theme="1"/>
        <rFont val="Aptos Narrow"/>
        <family val="2"/>
        <scheme val="minor"/>
      </rPr>
      <t>DU)</t>
    </r>
  </si>
  <si>
    <t>Table 047</t>
  </si>
  <si>
    <t>2024 Cornell Submissions, Remainder</t>
  </si>
  <si>
    <t>n.d.</t>
  </si>
  <si>
    <t>Samples Submitted by David Benscher and Mark Sorrells, Cornell U.</t>
  </si>
  <si>
    <t>*32.5</t>
  </si>
  <si>
    <t>*34.2</t>
  </si>
  <si>
    <t>*91.7</t>
  </si>
  <si>
    <t>*94.7</t>
  </si>
  <si>
    <t>*398</t>
  </si>
  <si>
    <t>*374</t>
  </si>
  <si>
    <t>*353</t>
  </si>
  <si>
    <t>NA</t>
  </si>
  <si>
    <t>Source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</si>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</sst>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6"/>
  <sheetViews>
    <sheetView showGridLines="0" tabSelected="1" workbookViewId="0">
      <pane ySplit="4160" topLeftCell="A71"/>
      <selection activeCell="Q9" sqref="Q9"/>
      <selection pane="bottomLeft" activeCell="A36" sqref="A36:XFD36"/>
    </sheetView>
  </sheetViews>
  <sheetFormatPr baseColWidth="10" defaultColWidth="8.625" defaultRowHeight="13" x14ac:dyDescent="0"/>
  <cols>
    <col min="1" max="2" width="5.75" style="3" customWidth="1"/>
    <col min="3" max="3" width="24.75" style="6" customWidth="1"/>
    <col min="4" max="4" width="11.375" style="6" customWidth="1"/>
    <col min="5" max="5" width="5.75" style="6" bestFit="1" customWidth="1"/>
    <col min="6" max="6" width="5.875" style="6" bestFit="1" customWidth="1"/>
    <col min="7" max="7" width="4.875" style="6" bestFit="1" customWidth="1"/>
    <col min="8" max="8" width="6.625" style="6" bestFit="1" customWidth="1"/>
    <col min="9" max="9" width="6" style="6" bestFit="1" customWidth="1"/>
    <col min="10" max="10" width="4.875" style="6" bestFit="1" customWidth="1"/>
    <col min="11" max="11" width="5.75" style="6" bestFit="1" customWidth="1"/>
    <col min="12" max="13" width="6" style="6" bestFit="1" customWidth="1"/>
    <col min="14" max="14" width="4" style="6" bestFit="1" customWidth="1"/>
    <col min="15" max="15" width="6.625" style="6" bestFit="1" customWidth="1"/>
    <col min="16" max="16" width="6.75" style="6" bestFit="1" customWidth="1"/>
    <col min="17" max="17" width="5.625" style="6" bestFit="1" customWidth="1"/>
    <col min="18" max="18" width="5.125" style="6" bestFit="1" customWidth="1"/>
    <col min="19" max="20" width="6.25" style="6" bestFit="1" customWidth="1"/>
    <col min="21" max="21" width="8.375" style="6" customWidth="1"/>
    <col min="22" max="22" width="8.625" style="6"/>
    <col min="23" max="16384" width="8.625" style="1"/>
  </cols>
  <sheetData>
    <row r="1" spans="1:22">
      <c r="A1" s="3" t="s">
        <v>165</v>
      </c>
    </row>
    <row r="2" spans="1:22">
      <c r="A2" s="2" t="s">
        <v>164</v>
      </c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F3" s="6" t="s">
        <v>124</v>
      </c>
      <c r="G3" s="6" t="s">
        <v>127</v>
      </c>
      <c r="H3" s="6" t="s">
        <v>130</v>
      </c>
      <c r="I3" s="6" t="s">
        <v>133</v>
      </c>
      <c r="L3" s="6" t="s">
        <v>130</v>
      </c>
      <c r="M3" s="6" t="s">
        <v>135</v>
      </c>
      <c r="P3" s="6" t="s">
        <v>140</v>
      </c>
      <c r="Q3" s="6" t="s">
        <v>142</v>
      </c>
      <c r="S3" s="6" t="s">
        <v>146</v>
      </c>
      <c r="T3" s="6" t="s">
        <v>146</v>
      </c>
      <c r="U3" s="6" t="s">
        <v>151</v>
      </c>
      <c r="V3" s="6" t="s">
        <v>151</v>
      </c>
    </row>
    <row r="4" spans="1:22">
      <c r="F4" s="6" t="s">
        <v>125</v>
      </c>
      <c r="G4" s="6" t="s">
        <v>128</v>
      </c>
      <c r="H4" s="6" t="s">
        <v>131</v>
      </c>
      <c r="I4" s="6" t="s">
        <v>134</v>
      </c>
      <c r="J4" s="6" t="s">
        <v>135</v>
      </c>
      <c r="K4" s="6" t="s">
        <v>135</v>
      </c>
      <c r="L4" s="6" t="s">
        <v>137</v>
      </c>
      <c r="M4" s="6" t="s">
        <v>137</v>
      </c>
      <c r="N4" s="6" t="s">
        <v>138</v>
      </c>
      <c r="O4" s="6" t="s">
        <v>139</v>
      </c>
      <c r="P4" s="6" t="s">
        <v>141</v>
      </c>
      <c r="Q4" s="6" t="s">
        <v>143</v>
      </c>
      <c r="R4" s="6" t="s">
        <v>145</v>
      </c>
      <c r="S4" s="6" t="s">
        <v>147</v>
      </c>
      <c r="T4" s="6" t="s">
        <v>149</v>
      </c>
      <c r="U4" s="6" t="s">
        <v>147</v>
      </c>
      <c r="V4" s="6" t="s">
        <v>149</v>
      </c>
    </row>
    <row r="5" spans="1:22">
      <c r="A5" s="2" t="s">
        <v>121</v>
      </c>
      <c r="B5" s="2" t="s">
        <v>176</v>
      </c>
      <c r="C5" s="5" t="s">
        <v>177</v>
      </c>
      <c r="D5" s="5"/>
      <c r="E5" s="5" t="s">
        <v>123</v>
      </c>
      <c r="F5" s="5" t="s">
        <v>126</v>
      </c>
      <c r="G5" s="5" t="s">
        <v>129</v>
      </c>
      <c r="H5" s="5" t="s">
        <v>132</v>
      </c>
      <c r="I5" s="5" t="s">
        <v>129</v>
      </c>
      <c r="J5" s="5" t="s">
        <v>131</v>
      </c>
      <c r="K5" s="5" t="s">
        <v>136</v>
      </c>
      <c r="L5" s="5" t="s">
        <v>129</v>
      </c>
      <c r="M5" s="5" t="s">
        <v>129</v>
      </c>
      <c r="N5" s="5" t="s">
        <v>129</v>
      </c>
      <c r="O5" s="5" t="s">
        <v>162</v>
      </c>
      <c r="P5" s="5" t="s">
        <v>163</v>
      </c>
      <c r="Q5" s="5" t="s">
        <v>144</v>
      </c>
      <c r="R5" s="5" t="s">
        <v>144</v>
      </c>
      <c r="S5" s="5" t="s">
        <v>148</v>
      </c>
      <c r="T5" s="5" t="s">
        <v>150</v>
      </c>
      <c r="U5" s="5" t="s">
        <v>148</v>
      </c>
      <c r="V5" s="5" t="s">
        <v>150</v>
      </c>
    </row>
    <row r="6" spans="1:22" ht="15">
      <c r="A6" s="3">
        <v>3092</v>
      </c>
      <c r="B6" s="14">
        <v>7188</v>
      </c>
      <c r="C6" s="6" t="s">
        <v>0</v>
      </c>
      <c r="D6" s="13">
        <v>6005</v>
      </c>
      <c r="E6" s="6">
        <v>2</v>
      </c>
      <c r="F6" s="7">
        <v>45.363408521303256</v>
      </c>
      <c r="G6" s="7">
        <v>98.3</v>
      </c>
      <c r="H6" s="9">
        <v>56.8</v>
      </c>
      <c r="I6" s="7">
        <v>81.838716483794045</v>
      </c>
      <c r="J6" s="7" t="s">
        <v>166</v>
      </c>
      <c r="K6" s="9">
        <v>3</v>
      </c>
      <c r="L6" s="7">
        <v>10.359116022099448</v>
      </c>
      <c r="M6" s="11">
        <v>4.8087878183716084</v>
      </c>
      <c r="N6" s="7">
        <v>50.142244680272114</v>
      </c>
      <c r="O6" s="9">
        <v>108.72532018094806</v>
      </c>
      <c r="P6" s="7">
        <v>51.889432225115804</v>
      </c>
      <c r="Q6" s="9">
        <v>276.27</v>
      </c>
      <c r="R6" s="9">
        <v>158.63999999999999</v>
      </c>
      <c r="S6" s="9">
        <v>43</v>
      </c>
      <c r="T6" s="6">
        <f t="shared" ref="T6:T37" si="0">RANK(S6,$S$6:$S$125)</f>
        <v>90</v>
      </c>
      <c r="U6" s="6">
        <v>44</v>
      </c>
      <c r="V6" s="6">
        <f t="shared" ref="V6:V37" si="1">RANK(U6,$U$6:$U$125)</f>
        <v>15</v>
      </c>
    </row>
    <row r="7" spans="1:22" ht="15">
      <c r="A7" s="3">
        <v>3093</v>
      </c>
      <c r="B7" s="14" t="s">
        <v>175</v>
      </c>
      <c r="C7" s="6" t="s">
        <v>1</v>
      </c>
      <c r="D7" s="13">
        <v>6006</v>
      </c>
      <c r="E7" s="6">
        <v>2</v>
      </c>
      <c r="F7" s="7">
        <v>46.840731070496084</v>
      </c>
      <c r="G7" s="7">
        <v>98.5</v>
      </c>
      <c r="H7" s="9">
        <v>55.849999999999994</v>
      </c>
      <c r="I7" s="7">
        <v>81.410055844192229</v>
      </c>
      <c r="J7" s="7" t="s">
        <v>166</v>
      </c>
      <c r="K7" s="9">
        <v>3</v>
      </c>
      <c r="L7" s="7">
        <v>10.730211817168339</v>
      </c>
      <c r="M7" s="11">
        <v>4.850002481751825</v>
      </c>
      <c r="N7" s="7">
        <v>49.283733827814572</v>
      </c>
      <c r="O7" s="9">
        <v>117.63009762384243</v>
      </c>
      <c r="P7" s="7">
        <v>47.375996151180509</v>
      </c>
      <c r="Q7" s="9">
        <v>201.52</v>
      </c>
      <c r="R7" s="9">
        <v>147.66</v>
      </c>
      <c r="S7" s="9">
        <v>40</v>
      </c>
      <c r="T7" s="6">
        <f t="shared" si="0"/>
        <v>101</v>
      </c>
      <c r="U7" s="6">
        <v>26</v>
      </c>
      <c r="V7" s="6">
        <f t="shared" si="1"/>
        <v>117</v>
      </c>
    </row>
    <row r="8" spans="1:22" ht="15">
      <c r="A8" s="3">
        <v>3094</v>
      </c>
      <c r="B8" s="14">
        <v>7133</v>
      </c>
      <c r="C8" s="6" t="s">
        <v>2</v>
      </c>
      <c r="D8" s="13">
        <v>6008</v>
      </c>
      <c r="E8" s="6">
        <v>2</v>
      </c>
      <c r="F8" s="7">
        <v>44.416873449131515</v>
      </c>
      <c r="G8" s="7">
        <v>99</v>
      </c>
      <c r="H8" s="9">
        <v>61.709999999999994</v>
      </c>
      <c r="I8" s="7">
        <v>82.880240672564426</v>
      </c>
      <c r="J8" s="7">
        <v>2.0099999999999998</v>
      </c>
      <c r="K8" s="9">
        <v>2</v>
      </c>
      <c r="L8" s="7">
        <v>9.4972067039106154</v>
      </c>
      <c r="M8" s="11">
        <v>4.8172418645833348</v>
      </c>
      <c r="N8" s="7">
        <v>54.809507437037048</v>
      </c>
      <c r="O8" s="9">
        <v>126.85380030273207</v>
      </c>
      <c r="P8" s="7">
        <v>58.876255305374848</v>
      </c>
      <c r="Q8" s="9">
        <v>73.28</v>
      </c>
      <c r="R8" s="9">
        <v>153.85</v>
      </c>
      <c r="S8" s="9">
        <v>54</v>
      </c>
      <c r="T8" s="6">
        <f t="shared" si="0"/>
        <v>23</v>
      </c>
      <c r="U8" s="6">
        <v>40</v>
      </c>
      <c r="V8" s="6">
        <f t="shared" si="1"/>
        <v>45</v>
      </c>
    </row>
    <row r="9" spans="1:22" ht="15">
      <c r="A9" s="3">
        <v>3095</v>
      </c>
      <c r="B9" s="14">
        <v>7162</v>
      </c>
      <c r="C9" s="6" t="s">
        <v>3</v>
      </c>
      <c r="D9" s="13">
        <v>6009</v>
      </c>
      <c r="E9" s="6">
        <v>2</v>
      </c>
      <c r="F9" s="7">
        <v>46.956521739130437</v>
      </c>
      <c r="G9" s="7">
        <v>98.4</v>
      </c>
      <c r="H9" s="9">
        <v>60.89</v>
      </c>
      <c r="I9" s="7">
        <v>82.147363808617953</v>
      </c>
      <c r="J9" s="7" t="s">
        <v>166</v>
      </c>
      <c r="K9" s="9">
        <v>3</v>
      </c>
      <c r="L9" s="7">
        <v>9.8039215686274517</v>
      </c>
      <c r="M9" s="11">
        <v>4.4246953076120956</v>
      </c>
      <c r="N9" s="7">
        <v>49.197481739130431</v>
      </c>
      <c r="O9" s="9">
        <v>116.05356340758352</v>
      </c>
      <c r="P9" s="7">
        <v>52.079830617898843</v>
      </c>
      <c r="Q9" s="9">
        <v>284.86</v>
      </c>
      <c r="R9" s="9">
        <v>133.53</v>
      </c>
      <c r="S9" s="9">
        <v>39</v>
      </c>
      <c r="T9" s="6">
        <f t="shared" si="0"/>
        <v>108</v>
      </c>
      <c r="U9" s="6">
        <v>43</v>
      </c>
      <c r="V9" s="6">
        <f t="shared" si="1"/>
        <v>19</v>
      </c>
    </row>
    <row r="10" spans="1:22" ht="15">
      <c r="A10" s="3">
        <v>3096</v>
      </c>
      <c r="B10" s="14">
        <v>7081</v>
      </c>
      <c r="C10" s="6" t="s">
        <v>4</v>
      </c>
      <c r="D10" s="13">
        <v>6012</v>
      </c>
      <c r="E10" s="6">
        <v>2</v>
      </c>
      <c r="F10" s="7">
        <v>43.75</v>
      </c>
      <c r="G10" s="7">
        <v>97.2</v>
      </c>
      <c r="H10" s="9">
        <v>57.17</v>
      </c>
      <c r="I10" s="7">
        <v>82.972556854397524</v>
      </c>
      <c r="J10" s="7">
        <v>1.63</v>
      </c>
      <c r="K10" s="9">
        <v>2</v>
      </c>
      <c r="L10" s="7">
        <v>9.134615384615385</v>
      </c>
      <c r="M10" s="11">
        <v>4.5496349582463465</v>
      </c>
      <c r="N10" s="7">
        <v>54.059538480620148</v>
      </c>
      <c r="O10" s="9">
        <v>124.79895739467212</v>
      </c>
      <c r="P10" s="7">
        <v>47.158611322549582</v>
      </c>
      <c r="Q10" s="9">
        <v>135.71</v>
      </c>
      <c r="R10" s="9">
        <v>129.94999999999999</v>
      </c>
      <c r="S10" s="9">
        <v>43</v>
      </c>
      <c r="T10" s="6">
        <f t="shared" si="0"/>
        <v>90</v>
      </c>
      <c r="U10" s="6">
        <v>32</v>
      </c>
      <c r="V10" s="6">
        <f t="shared" si="1"/>
        <v>106</v>
      </c>
    </row>
    <row r="11" spans="1:22" ht="15">
      <c r="A11" s="3">
        <v>3097</v>
      </c>
      <c r="B11" s="14">
        <v>7096</v>
      </c>
      <c r="C11" s="6" t="s">
        <v>5</v>
      </c>
      <c r="D11" s="13">
        <v>6013</v>
      </c>
      <c r="E11" s="6">
        <v>2</v>
      </c>
      <c r="F11" s="7">
        <v>47.95755968169761</v>
      </c>
      <c r="G11" s="7">
        <v>98.6</v>
      </c>
      <c r="H11" s="9">
        <v>59.230000000000004</v>
      </c>
      <c r="I11" s="7">
        <v>82.485939319375163</v>
      </c>
      <c r="J11" s="7">
        <v>1.8900000000000001</v>
      </c>
      <c r="K11" s="9">
        <v>2</v>
      </c>
      <c r="L11" s="7">
        <v>9.5409292035398217</v>
      </c>
      <c r="M11" s="11">
        <v>4.6325183229166669</v>
      </c>
      <c r="N11" s="7">
        <v>51.938307620437953</v>
      </c>
      <c r="O11" s="9">
        <v>107.95204814253282</v>
      </c>
      <c r="P11" s="7">
        <v>47.646227489653455</v>
      </c>
      <c r="Q11" s="9">
        <v>178.39</v>
      </c>
      <c r="R11" s="9">
        <v>152.96</v>
      </c>
      <c r="S11" s="9">
        <v>37</v>
      </c>
      <c r="T11" s="6">
        <f t="shared" si="0"/>
        <v>111</v>
      </c>
      <c r="U11" s="6">
        <v>43</v>
      </c>
      <c r="V11" s="6">
        <f t="shared" si="1"/>
        <v>19</v>
      </c>
    </row>
    <row r="12" spans="1:22" ht="15">
      <c r="A12" s="3">
        <v>3098</v>
      </c>
      <c r="B12" s="14">
        <v>7154</v>
      </c>
      <c r="C12" s="6" t="s">
        <v>6</v>
      </c>
      <c r="D12" s="13">
        <v>6015</v>
      </c>
      <c r="E12" s="6">
        <v>2</v>
      </c>
      <c r="F12" s="7" t="s">
        <v>169</v>
      </c>
      <c r="G12" s="7" t="s">
        <v>170</v>
      </c>
      <c r="H12" s="9">
        <v>52.83</v>
      </c>
      <c r="I12" s="7">
        <v>82.173001306186748</v>
      </c>
      <c r="J12" s="7">
        <v>2.17</v>
      </c>
      <c r="K12" s="9">
        <v>2</v>
      </c>
      <c r="L12" s="7">
        <v>9.5888520971302427</v>
      </c>
      <c r="M12" s="11">
        <v>4.9731323596673596</v>
      </c>
      <c r="N12" s="7">
        <v>52.429077589041093</v>
      </c>
      <c r="O12" s="9">
        <v>140.49797515716747</v>
      </c>
      <c r="P12" s="7">
        <v>57.05660506037502</v>
      </c>
      <c r="Q12" s="9">
        <v>34.17</v>
      </c>
      <c r="R12" s="9">
        <v>167.69</v>
      </c>
      <c r="S12" s="9">
        <v>49</v>
      </c>
      <c r="T12" s="6">
        <f t="shared" si="0"/>
        <v>47</v>
      </c>
      <c r="U12" s="6">
        <v>35</v>
      </c>
      <c r="V12" s="6">
        <f t="shared" si="1"/>
        <v>92</v>
      </c>
    </row>
    <row r="13" spans="1:22" ht="15">
      <c r="A13" s="3">
        <v>3099</v>
      </c>
      <c r="B13" s="14">
        <v>7013</v>
      </c>
      <c r="C13" s="6" t="s">
        <v>7</v>
      </c>
      <c r="D13" s="13">
        <v>6016</v>
      </c>
      <c r="E13" s="6">
        <v>2</v>
      </c>
      <c r="F13" s="7">
        <v>42.25352112676056</v>
      </c>
      <c r="G13" s="7">
        <v>97.5</v>
      </c>
      <c r="H13" s="9">
        <v>62.769999999999996</v>
      </c>
      <c r="I13" s="7">
        <v>81.799246997870512</v>
      </c>
      <c r="J13" s="7">
        <v>1.76</v>
      </c>
      <c r="K13" s="9">
        <v>2</v>
      </c>
      <c r="L13" s="7">
        <v>9.6527777777777786</v>
      </c>
      <c r="M13" s="11">
        <v>4.6879353854166679</v>
      </c>
      <c r="N13" s="7">
        <v>53.338287051851864</v>
      </c>
      <c r="O13" s="9">
        <v>130.13564554028326</v>
      </c>
      <c r="P13" s="7">
        <v>46.821236348678269</v>
      </c>
      <c r="Q13" s="9">
        <v>71.25</v>
      </c>
      <c r="R13" s="9">
        <v>150.91</v>
      </c>
      <c r="S13" s="9">
        <v>47</v>
      </c>
      <c r="T13" s="6">
        <f t="shared" si="0"/>
        <v>62</v>
      </c>
      <c r="U13" s="6">
        <v>43</v>
      </c>
      <c r="V13" s="6">
        <f t="shared" si="1"/>
        <v>19</v>
      </c>
    </row>
    <row r="14" spans="1:22" ht="15">
      <c r="A14" s="3">
        <v>3100</v>
      </c>
      <c r="B14" s="14">
        <v>7484</v>
      </c>
      <c r="C14" s="6" t="s">
        <v>8</v>
      </c>
      <c r="D14" s="13">
        <v>6017</v>
      </c>
      <c r="E14" s="6">
        <v>2</v>
      </c>
      <c r="F14" s="7">
        <v>44.127764127764131</v>
      </c>
      <c r="G14" s="7">
        <v>98.4</v>
      </c>
      <c r="H14" s="9">
        <v>59.769999999999996</v>
      </c>
      <c r="I14" s="7">
        <v>82.991514991646895</v>
      </c>
      <c r="J14" s="7">
        <v>1.69</v>
      </c>
      <c r="K14" s="9">
        <v>2</v>
      </c>
      <c r="L14" s="7">
        <v>9.5350779510022274</v>
      </c>
      <c r="M14" s="11">
        <v>4.7064077395833337</v>
      </c>
      <c r="N14" s="7">
        <v>51.636016342857147</v>
      </c>
      <c r="O14" s="9">
        <v>135.4377690941412</v>
      </c>
      <c r="P14" s="7">
        <v>45.8886376675759</v>
      </c>
      <c r="Q14" s="9">
        <v>82.8</v>
      </c>
      <c r="R14" s="9">
        <v>149.94</v>
      </c>
      <c r="S14" s="9">
        <v>47</v>
      </c>
      <c r="T14" s="6">
        <f t="shared" si="0"/>
        <v>62</v>
      </c>
      <c r="U14" s="6">
        <v>36</v>
      </c>
      <c r="V14" s="6">
        <f t="shared" si="1"/>
        <v>84</v>
      </c>
    </row>
    <row r="15" spans="1:22" ht="15">
      <c r="A15" s="3">
        <v>3101</v>
      </c>
      <c r="B15" s="14">
        <v>7156</v>
      </c>
      <c r="C15" s="6" t="s">
        <v>9</v>
      </c>
      <c r="D15" s="13">
        <v>6023</v>
      </c>
      <c r="E15" s="6">
        <v>2</v>
      </c>
      <c r="F15" s="7">
        <v>41.098398169336384</v>
      </c>
      <c r="G15" s="7">
        <v>98.3</v>
      </c>
      <c r="H15" s="9">
        <v>59.45</v>
      </c>
      <c r="I15" s="7">
        <v>82.485939319375163</v>
      </c>
      <c r="J15" s="7">
        <v>1.6600000000000001</v>
      </c>
      <c r="K15" s="9">
        <v>2</v>
      </c>
      <c r="L15" s="7">
        <v>10.161469933184856</v>
      </c>
      <c r="M15" s="11">
        <v>4.6786992083333336</v>
      </c>
      <c r="N15" s="7">
        <v>48.557310702702708</v>
      </c>
      <c r="O15" s="9">
        <v>137.43876208285769</v>
      </c>
      <c r="P15" s="7">
        <v>45.8886376675759</v>
      </c>
      <c r="Q15" s="9">
        <v>90.49</v>
      </c>
      <c r="R15" s="9">
        <v>152.6</v>
      </c>
      <c r="S15" s="9">
        <v>46</v>
      </c>
      <c r="T15" s="6">
        <f t="shared" si="0"/>
        <v>72</v>
      </c>
      <c r="U15" s="6">
        <v>47</v>
      </c>
      <c r="V15" s="6">
        <f t="shared" si="1"/>
        <v>4</v>
      </c>
    </row>
    <row r="16" spans="1:22" ht="15">
      <c r="A16" s="3">
        <v>3102</v>
      </c>
      <c r="B16" s="14">
        <v>7229</v>
      </c>
      <c r="C16" s="6" t="s">
        <v>10</v>
      </c>
      <c r="D16" s="13">
        <v>6024</v>
      </c>
      <c r="E16" s="6">
        <v>2</v>
      </c>
      <c r="F16" s="7">
        <v>44.375</v>
      </c>
      <c r="G16" s="7">
        <v>97.4</v>
      </c>
      <c r="H16" s="9">
        <v>57.36</v>
      </c>
      <c r="I16" s="7">
        <v>83.324274069941097</v>
      </c>
      <c r="J16" s="7">
        <v>1.75</v>
      </c>
      <c r="K16" s="9">
        <v>2</v>
      </c>
      <c r="L16" s="7">
        <v>10.157096424702059</v>
      </c>
      <c r="M16" s="11">
        <v>4.8926602375742432</v>
      </c>
      <c r="N16" s="7">
        <v>51.812259641379327</v>
      </c>
      <c r="O16" s="9">
        <v>147.84543509346057</v>
      </c>
      <c r="P16" s="7">
        <v>46.548829417532062</v>
      </c>
      <c r="Q16" s="9">
        <v>105.99</v>
      </c>
      <c r="R16" s="9">
        <v>168.82</v>
      </c>
      <c r="S16" s="9">
        <v>47</v>
      </c>
      <c r="T16" s="6">
        <f t="shared" si="0"/>
        <v>62</v>
      </c>
      <c r="U16" s="6">
        <v>41</v>
      </c>
      <c r="V16" s="6">
        <f t="shared" si="1"/>
        <v>31</v>
      </c>
    </row>
    <row r="17" spans="1:22" ht="15">
      <c r="A17" s="3">
        <v>3103</v>
      </c>
      <c r="B17" s="14" t="s">
        <v>175</v>
      </c>
      <c r="C17" s="6" t="s">
        <v>11</v>
      </c>
      <c r="D17" s="13">
        <v>6025</v>
      </c>
      <c r="E17" s="6">
        <v>2</v>
      </c>
      <c r="F17" s="7">
        <v>39.399141630901291</v>
      </c>
      <c r="G17" s="7">
        <v>95.7</v>
      </c>
      <c r="H17" s="9">
        <v>58.31</v>
      </c>
      <c r="I17" s="7">
        <v>83.345342288438161</v>
      </c>
      <c r="J17" s="7">
        <v>1.83</v>
      </c>
      <c r="K17" s="9">
        <v>2</v>
      </c>
      <c r="L17" s="7">
        <v>9.3954248366013076</v>
      </c>
      <c r="M17" s="11">
        <v>4.7715580164600491</v>
      </c>
      <c r="N17" s="7">
        <v>54.284071585185202</v>
      </c>
      <c r="O17" s="9">
        <v>146.90037628409971</v>
      </c>
      <c r="P17" s="7">
        <v>55.029054378204599</v>
      </c>
      <c r="Q17" s="9">
        <v>30.57</v>
      </c>
      <c r="R17" s="9">
        <v>163.07</v>
      </c>
      <c r="S17" s="9">
        <v>47</v>
      </c>
      <c r="T17" s="6">
        <f t="shared" si="0"/>
        <v>62</v>
      </c>
      <c r="U17" s="6">
        <v>37</v>
      </c>
      <c r="V17" s="6">
        <f t="shared" si="1"/>
        <v>75</v>
      </c>
    </row>
    <row r="18" spans="1:22" ht="15">
      <c r="A18" s="3">
        <v>3104</v>
      </c>
      <c r="B18" s="14">
        <v>7336</v>
      </c>
      <c r="C18" s="6" t="s">
        <v>12</v>
      </c>
      <c r="D18" s="13">
        <v>6026</v>
      </c>
      <c r="E18" s="6">
        <v>2</v>
      </c>
      <c r="F18" s="7">
        <v>43.36492890995261</v>
      </c>
      <c r="G18" s="7">
        <v>97.9</v>
      </c>
      <c r="H18" s="9">
        <v>60.730000000000004</v>
      </c>
      <c r="I18" s="7">
        <v>83.066829599433603</v>
      </c>
      <c r="J18" s="7">
        <v>1.72</v>
      </c>
      <c r="K18" s="9">
        <v>2</v>
      </c>
      <c r="L18" s="7">
        <v>10.040983606557377</v>
      </c>
      <c r="M18" s="11">
        <v>4.8792662668196511</v>
      </c>
      <c r="N18" s="7">
        <v>49.56559014569536</v>
      </c>
      <c r="O18" s="9">
        <v>157.25534892906467</v>
      </c>
      <c r="P18" s="7">
        <v>48.908096538462587</v>
      </c>
      <c r="Q18" s="9">
        <v>131.65</v>
      </c>
      <c r="R18" s="9">
        <v>164.91</v>
      </c>
      <c r="S18" s="9">
        <v>47</v>
      </c>
      <c r="T18" s="6">
        <f t="shared" si="0"/>
        <v>62</v>
      </c>
      <c r="U18" s="6">
        <v>41</v>
      </c>
      <c r="V18" s="6">
        <f t="shared" si="1"/>
        <v>31</v>
      </c>
    </row>
    <row r="19" spans="1:22" ht="15">
      <c r="A19" s="3">
        <v>3105</v>
      </c>
      <c r="B19" s="14" t="s">
        <v>175</v>
      </c>
      <c r="C19" s="6" t="s">
        <v>13</v>
      </c>
      <c r="D19" s="13">
        <v>6031</v>
      </c>
      <c r="E19" s="6">
        <v>2</v>
      </c>
      <c r="F19" s="7">
        <v>45.260545905707197</v>
      </c>
      <c r="G19" s="7">
        <v>98.8</v>
      </c>
      <c r="H19" s="9">
        <v>62.78</v>
      </c>
      <c r="I19" s="7">
        <v>82.788299745819572</v>
      </c>
      <c r="J19" s="7">
        <v>2.34</v>
      </c>
      <c r="K19" s="9">
        <v>2</v>
      </c>
      <c r="L19" s="7">
        <v>10.553728070175438</v>
      </c>
      <c r="M19" s="11">
        <v>5.0307220045842884</v>
      </c>
      <c r="N19" s="7">
        <v>51.84952461744966</v>
      </c>
      <c r="O19" s="9">
        <v>155.84583055604156</v>
      </c>
      <c r="P19" s="7">
        <v>63.047240569627988</v>
      </c>
      <c r="Q19" s="9">
        <v>71.680000000000007</v>
      </c>
      <c r="R19" s="9">
        <v>155.97</v>
      </c>
      <c r="S19" s="9">
        <v>54</v>
      </c>
      <c r="T19" s="6">
        <f t="shared" si="0"/>
        <v>23</v>
      </c>
      <c r="U19" s="6">
        <v>40</v>
      </c>
      <c r="V19" s="6">
        <f t="shared" si="1"/>
        <v>45</v>
      </c>
    </row>
    <row r="20" spans="1:22" ht="15">
      <c r="A20" s="3">
        <v>3106</v>
      </c>
      <c r="B20" s="14">
        <v>7350</v>
      </c>
      <c r="C20" s="6" t="s">
        <v>14</v>
      </c>
      <c r="D20" s="13">
        <v>6037</v>
      </c>
      <c r="E20" s="6">
        <v>2</v>
      </c>
      <c r="F20" s="7">
        <v>36.774193548387096</v>
      </c>
      <c r="G20" s="7" t="s">
        <v>171</v>
      </c>
      <c r="H20" s="9">
        <v>55.629999999999995</v>
      </c>
      <c r="I20" s="7">
        <v>82.331862854278853</v>
      </c>
      <c r="J20" s="7">
        <v>1.77</v>
      </c>
      <c r="K20" s="9">
        <v>1</v>
      </c>
      <c r="L20" s="7">
        <v>9.4572368421052637</v>
      </c>
      <c r="M20" s="11">
        <v>4.4593535383011993</v>
      </c>
      <c r="N20" s="7">
        <v>49.251795338129511</v>
      </c>
      <c r="O20" s="9">
        <v>138.12013914427783</v>
      </c>
      <c r="P20" s="7">
        <v>59.753306284284207</v>
      </c>
      <c r="Q20" s="9">
        <v>63.12</v>
      </c>
      <c r="R20" s="9">
        <v>138.22999999999999</v>
      </c>
      <c r="S20" s="9">
        <v>46</v>
      </c>
      <c r="T20" s="6">
        <f t="shared" si="0"/>
        <v>72</v>
      </c>
      <c r="U20" s="6">
        <v>39</v>
      </c>
      <c r="V20" s="6">
        <f t="shared" si="1"/>
        <v>60</v>
      </c>
    </row>
    <row r="21" spans="1:22" ht="15">
      <c r="A21" s="3">
        <v>3107</v>
      </c>
      <c r="B21" s="14">
        <v>7283</v>
      </c>
      <c r="C21" s="6" t="s">
        <v>15</v>
      </c>
      <c r="D21" s="13">
        <v>6038</v>
      </c>
      <c r="E21" s="6">
        <v>2</v>
      </c>
      <c r="F21" s="7">
        <v>40.758928571428569</v>
      </c>
      <c r="G21" s="7">
        <v>97.7</v>
      </c>
      <c r="H21" s="9">
        <v>56.290000000000006</v>
      </c>
      <c r="I21" s="7">
        <v>83.472260371553148</v>
      </c>
      <c r="J21" s="7">
        <v>1.96</v>
      </c>
      <c r="K21" s="9">
        <v>2</v>
      </c>
      <c r="L21" s="7">
        <v>10.268346111719605</v>
      </c>
      <c r="M21" s="11">
        <v>4.9810019818504223</v>
      </c>
      <c r="N21" s="7">
        <v>50.26617473684211</v>
      </c>
      <c r="O21" s="9">
        <v>146.94185537663779</v>
      </c>
      <c r="P21" s="7">
        <v>60.868730183976446</v>
      </c>
      <c r="Q21" s="9">
        <v>78.400000000000006</v>
      </c>
      <c r="R21" s="9">
        <v>163.44999999999999</v>
      </c>
      <c r="S21" s="9">
        <v>53</v>
      </c>
      <c r="T21" s="6">
        <f t="shared" si="0"/>
        <v>25</v>
      </c>
      <c r="U21" s="6">
        <v>44</v>
      </c>
      <c r="V21" s="6">
        <f t="shared" si="1"/>
        <v>15</v>
      </c>
    </row>
    <row r="22" spans="1:22" ht="15">
      <c r="A22" s="3">
        <v>3108</v>
      </c>
      <c r="B22" s="14">
        <v>7032</v>
      </c>
      <c r="C22" s="6" t="s">
        <v>16</v>
      </c>
      <c r="D22" s="13">
        <v>6048</v>
      </c>
      <c r="E22" s="6">
        <v>2</v>
      </c>
      <c r="F22" s="7">
        <v>48.68632707774799</v>
      </c>
      <c r="G22" s="7">
        <v>98.3</v>
      </c>
      <c r="H22" s="9">
        <v>57.66</v>
      </c>
      <c r="I22" s="7">
        <v>81.562911351616719</v>
      </c>
      <c r="J22" s="7">
        <v>1.8599999999999999</v>
      </c>
      <c r="K22" s="9">
        <v>2</v>
      </c>
      <c r="L22" s="7">
        <v>10.049559471365638</v>
      </c>
      <c r="M22" s="11">
        <v>4.9594636135770234</v>
      </c>
      <c r="N22" s="7">
        <v>53.132155636363635</v>
      </c>
      <c r="O22" s="9">
        <v>159.84563498354387</v>
      </c>
      <c r="P22" s="7">
        <v>47.255162895753429</v>
      </c>
      <c r="Q22" s="9">
        <v>83.71</v>
      </c>
      <c r="R22" s="9">
        <v>148.9</v>
      </c>
      <c r="S22" s="9">
        <v>51</v>
      </c>
      <c r="T22" s="6">
        <f t="shared" si="0"/>
        <v>35</v>
      </c>
      <c r="U22" s="6">
        <v>41</v>
      </c>
      <c r="V22" s="6">
        <f t="shared" si="1"/>
        <v>31</v>
      </c>
    </row>
    <row r="23" spans="1:22" ht="15">
      <c r="A23" s="3">
        <v>3109</v>
      </c>
      <c r="B23" s="14">
        <v>7210</v>
      </c>
      <c r="C23" s="6" t="s">
        <v>17</v>
      </c>
      <c r="D23" s="13">
        <v>6050</v>
      </c>
      <c r="E23" s="6">
        <v>2</v>
      </c>
      <c r="F23" s="7">
        <v>38.312236286919834</v>
      </c>
      <c r="G23" s="7">
        <v>96.5</v>
      </c>
      <c r="H23" s="9">
        <v>55.91</v>
      </c>
      <c r="I23" s="7">
        <v>81.388698105854232</v>
      </c>
      <c r="J23" s="7">
        <v>1.87</v>
      </c>
      <c r="K23" s="9">
        <v>1</v>
      </c>
      <c r="L23" s="7">
        <v>10.32488986784141</v>
      </c>
      <c r="M23" s="11">
        <v>4.7021397659596706</v>
      </c>
      <c r="N23" s="7">
        <v>48.326635919463087</v>
      </c>
      <c r="O23" s="9">
        <v>144.13107011036109</v>
      </c>
      <c r="P23" s="7">
        <v>52.491702366091175</v>
      </c>
      <c r="Q23" s="9">
        <v>163.47</v>
      </c>
      <c r="R23" s="9">
        <v>138.47</v>
      </c>
      <c r="S23" s="9">
        <v>41</v>
      </c>
      <c r="T23" s="6">
        <f t="shared" si="0"/>
        <v>97</v>
      </c>
      <c r="U23" s="6">
        <v>27</v>
      </c>
      <c r="V23" s="6">
        <f t="shared" si="1"/>
        <v>116</v>
      </c>
    </row>
    <row r="24" spans="1:22" ht="15">
      <c r="A24" s="3">
        <v>3110</v>
      </c>
      <c r="B24" s="14">
        <v>7344</v>
      </c>
      <c r="C24" s="6" t="s">
        <v>18</v>
      </c>
      <c r="D24" s="13">
        <v>6053</v>
      </c>
      <c r="E24" s="6">
        <v>2</v>
      </c>
      <c r="F24" s="7">
        <v>45.5</v>
      </c>
      <c r="G24" s="7">
        <v>98.1</v>
      </c>
      <c r="H24" s="9">
        <v>59.900000000000006</v>
      </c>
      <c r="I24" s="7">
        <v>82.096171344246201</v>
      </c>
      <c r="J24" s="7">
        <v>1.94</v>
      </c>
      <c r="K24" s="9">
        <v>1</v>
      </c>
      <c r="L24" s="7">
        <v>9.958791208791208</v>
      </c>
      <c r="M24" s="11">
        <v>5.1546848459616994</v>
      </c>
      <c r="N24" s="7">
        <v>52.82795946666667</v>
      </c>
      <c r="O24" s="9">
        <v>120.81211784265001</v>
      </c>
      <c r="P24" s="7">
        <v>54.666900207832875</v>
      </c>
      <c r="Q24" s="9">
        <v>92.87</v>
      </c>
      <c r="R24" s="9">
        <v>181.94</v>
      </c>
      <c r="S24" s="9">
        <v>58</v>
      </c>
      <c r="T24" s="6">
        <f t="shared" si="0"/>
        <v>9</v>
      </c>
      <c r="U24" s="6">
        <v>42</v>
      </c>
      <c r="V24" s="6">
        <f t="shared" si="1"/>
        <v>25</v>
      </c>
    </row>
    <row r="25" spans="1:22" ht="15">
      <c r="A25" s="3">
        <v>3111</v>
      </c>
      <c r="B25" s="14">
        <v>7017</v>
      </c>
      <c r="C25" s="6" t="s">
        <v>19</v>
      </c>
      <c r="D25" s="13">
        <v>6055</v>
      </c>
      <c r="E25" s="6">
        <v>2</v>
      </c>
      <c r="F25" s="7">
        <v>44.926108374384235</v>
      </c>
      <c r="G25" s="7">
        <v>96.7</v>
      </c>
      <c r="H25" s="9">
        <v>59.739999999999995</v>
      </c>
      <c r="I25" s="7">
        <v>82.278327926497369</v>
      </c>
      <c r="J25" s="7">
        <v>1.72</v>
      </c>
      <c r="K25" s="9">
        <v>1</v>
      </c>
      <c r="L25" s="7">
        <v>9.6628289473684212</v>
      </c>
      <c r="M25" s="11">
        <v>5.2741062441461128</v>
      </c>
      <c r="N25" s="7">
        <v>57.91872788571429</v>
      </c>
      <c r="O25" s="9">
        <v>132.48982358573167</v>
      </c>
      <c r="P25" s="7">
        <v>57.324989496837787</v>
      </c>
      <c r="Q25" s="9">
        <v>61.36</v>
      </c>
      <c r="R25" s="9">
        <v>170.17</v>
      </c>
      <c r="S25" s="9">
        <v>55</v>
      </c>
      <c r="T25" s="6">
        <f t="shared" si="0"/>
        <v>18</v>
      </c>
      <c r="U25" s="6">
        <v>41</v>
      </c>
      <c r="V25" s="6">
        <f t="shared" si="1"/>
        <v>31</v>
      </c>
    </row>
    <row r="26" spans="1:22" ht="15">
      <c r="A26" s="3">
        <v>3112</v>
      </c>
      <c r="B26" s="14">
        <v>7340</v>
      </c>
      <c r="C26" s="6" t="s">
        <v>20</v>
      </c>
      <c r="D26" s="13">
        <v>6057</v>
      </c>
      <c r="E26" s="6">
        <v>2</v>
      </c>
      <c r="F26" s="7">
        <v>42.300469483568072</v>
      </c>
      <c r="G26" s="7">
        <v>98.1</v>
      </c>
      <c r="H26" s="9">
        <v>61.150000000000006</v>
      </c>
      <c r="I26" s="7">
        <v>81.980383116498501</v>
      </c>
      <c r="J26" s="7">
        <v>1.9300000000000002</v>
      </c>
      <c r="K26" s="9">
        <v>1</v>
      </c>
      <c r="L26" s="7">
        <v>10.197003329633741</v>
      </c>
      <c r="M26" s="11">
        <v>4.6237637878945721</v>
      </c>
      <c r="N26" s="7">
        <v>47.982171459459451</v>
      </c>
      <c r="O26" s="9">
        <v>110.86369147908911</v>
      </c>
      <c r="P26" s="7">
        <v>45.683338046003563</v>
      </c>
      <c r="Q26" s="9">
        <v>194.33</v>
      </c>
      <c r="R26" s="9">
        <v>142.41999999999999</v>
      </c>
      <c r="S26" s="9">
        <v>38</v>
      </c>
      <c r="T26" s="6">
        <f t="shared" si="0"/>
        <v>110</v>
      </c>
      <c r="U26" s="6">
        <v>45</v>
      </c>
      <c r="V26" s="6">
        <f t="shared" si="1"/>
        <v>10</v>
      </c>
    </row>
    <row r="27" spans="1:22" ht="15">
      <c r="A27" s="3">
        <v>3113</v>
      </c>
      <c r="B27" s="14">
        <v>7423</v>
      </c>
      <c r="C27" s="6" t="s">
        <v>21</v>
      </c>
      <c r="D27" s="13">
        <v>6062</v>
      </c>
      <c r="E27" s="6">
        <v>2</v>
      </c>
      <c r="F27" s="7">
        <v>46.443298969072167</v>
      </c>
      <c r="G27" s="7">
        <v>98.8</v>
      </c>
      <c r="H27" s="9">
        <v>65.28</v>
      </c>
      <c r="I27" s="7">
        <v>82.199454597286845</v>
      </c>
      <c r="J27" s="7">
        <v>1.49</v>
      </c>
      <c r="K27" s="9">
        <v>1</v>
      </c>
      <c r="L27" s="7">
        <v>9.9195338512763609</v>
      </c>
      <c r="M27" s="11">
        <v>4.645141582403836</v>
      </c>
      <c r="N27" s="7">
        <v>49.858286097902102</v>
      </c>
      <c r="O27" s="9">
        <v>121.6707048728707</v>
      </c>
      <c r="P27" s="7">
        <v>44.100818547425433</v>
      </c>
      <c r="Q27" s="9">
        <v>99.22</v>
      </c>
      <c r="R27" s="9">
        <v>140.79</v>
      </c>
      <c r="S27" s="9">
        <v>48</v>
      </c>
      <c r="T27" s="6">
        <f t="shared" si="0"/>
        <v>52</v>
      </c>
      <c r="U27" s="6">
        <v>45</v>
      </c>
      <c r="V27" s="6">
        <f t="shared" si="1"/>
        <v>10</v>
      </c>
    </row>
    <row r="28" spans="1:22" ht="15">
      <c r="A28" s="3">
        <v>3114</v>
      </c>
      <c r="B28" s="14">
        <v>7384</v>
      </c>
      <c r="C28" s="6" t="s">
        <v>22</v>
      </c>
      <c r="D28" s="13">
        <v>6064</v>
      </c>
      <c r="E28" s="6">
        <v>2</v>
      </c>
      <c r="F28" s="7">
        <v>41.851851851851855</v>
      </c>
      <c r="G28" s="7">
        <v>98.4</v>
      </c>
      <c r="H28" s="9">
        <v>58.59</v>
      </c>
      <c r="I28" s="7">
        <v>82.470129311281084</v>
      </c>
      <c r="J28" s="7">
        <v>1.56</v>
      </c>
      <c r="K28" s="9">
        <v>1</v>
      </c>
      <c r="L28" s="7">
        <v>9.817477876106194</v>
      </c>
      <c r="M28" s="11">
        <v>4.7019996149443228</v>
      </c>
      <c r="N28" s="7">
        <v>48.517062335570465</v>
      </c>
      <c r="O28" s="9">
        <v>141.3188535544478</v>
      </c>
      <c r="P28" s="7">
        <v>47.006342168407237</v>
      </c>
      <c r="Q28" s="9">
        <v>26.52</v>
      </c>
      <c r="R28" s="9">
        <v>153.41999999999999</v>
      </c>
      <c r="S28" s="9">
        <v>47</v>
      </c>
      <c r="T28" s="6">
        <f t="shared" si="0"/>
        <v>62</v>
      </c>
      <c r="U28" s="6">
        <v>45</v>
      </c>
      <c r="V28" s="6">
        <f t="shared" si="1"/>
        <v>10</v>
      </c>
    </row>
    <row r="29" spans="1:22" ht="15">
      <c r="A29" s="3">
        <v>3115</v>
      </c>
      <c r="B29" s="14">
        <v>7190</v>
      </c>
      <c r="C29" s="6" t="s">
        <v>23</v>
      </c>
      <c r="D29" s="13">
        <v>6066</v>
      </c>
      <c r="E29" s="6">
        <v>2</v>
      </c>
      <c r="F29" s="7">
        <v>48.244680851063826</v>
      </c>
      <c r="G29" s="7">
        <v>97.5</v>
      </c>
      <c r="H29" s="9">
        <v>60.69</v>
      </c>
      <c r="I29" s="7">
        <v>83.006890659520764</v>
      </c>
      <c r="J29" s="7">
        <v>1.5</v>
      </c>
      <c r="K29" s="9">
        <v>1</v>
      </c>
      <c r="L29" s="7">
        <v>9.6471885336273431</v>
      </c>
      <c r="M29" s="11">
        <v>4.6359595505617976</v>
      </c>
      <c r="N29" s="7">
        <v>51.293056920863314</v>
      </c>
      <c r="O29" s="9">
        <v>136.85286364741873</v>
      </c>
      <c r="P29" s="7">
        <v>38.521846946611866</v>
      </c>
      <c r="Q29" s="9">
        <v>35.97</v>
      </c>
      <c r="R29" s="9">
        <v>140.63999999999999</v>
      </c>
      <c r="S29" s="9">
        <v>44</v>
      </c>
      <c r="T29" s="6">
        <f t="shared" si="0"/>
        <v>82</v>
      </c>
      <c r="U29" s="6">
        <v>40</v>
      </c>
      <c r="V29" s="6">
        <f t="shared" si="1"/>
        <v>45</v>
      </c>
    </row>
    <row r="30" spans="1:22" ht="15">
      <c r="A30" s="3">
        <v>3116</v>
      </c>
      <c r="B30" s="14">
        <v>7282</v>
      </c>
      <c r="C30" s="6" t="s">
        <v>24</v>
      </c>
      <c r="D30" s="13">
        <v>6071</v>
      </c>
      <c r="E30" s="6">
        <v>2</v>
      </c>
      <c r="F30" s="7">
        <v>44.213075060532688</v>
      </c>
      <c r="G30" s="7">
        <v>98.4</v>
      </c>
      <c r="H30" s="9">
        <v>63.180000000000007</v>
      </c>
      <c r="I30" s="7">
        <v>83.429940773203626</v>
      </c>
      <c r="J30" s="7">
        <v>1.97</v>
      </c>
      <c r="K30" s="9">
        <v>2</v>
      </c>
      <c r="L30" s="7">
        <v>10.199890470974809</v>
      </c>
      <c r="M30" s="11">
        <v>5.1639133326394679</v>
      </c>
      <c r="N30" s="7">
        <v>54.37247046575343</v>
      </c>
      <c r="O30" s="9">
        <v>144.2271285872952</v>
      </c>
      <c r="P30" s="7">
        <v>53.128359085633853</v>
      </c>
      <c r="Q30" s="9">
        <v>24.89</v>
      </c>
      <c r="R30" s="9">
        <v>180.02</v>
      </c>
      <c r="S30" s="9">
        <v>57</v>
      </c>
      <c r="T30" s="6">
        <f t="shared" si="0"/>
        <v>13</v>
      </c>
      <c r="U30" s="6">
        <v>41</v>
      </c>
      <c r="V30" s="6">
        <f t="shared" si="1"/>
        <v>31</v>
      </c>
    </row>
    <row r="31" spans="1:22" ht="15">
      <c r="A31" s="3">
        <v>3117</v>
      </c>
      <c r="B31" s="14">
        <v>7388</v>
      </c>
      <c r="C31" s="6" t="s">
        <v>25</v>
      </c>
      <c r="D31" s="13">
        <v>6082</v>
      </c>
      <c r="E31" s="6">
        <v>2</v>
      </c>
      <c r="F31" s="7">
        <v>39.955555555555556</v>
      </c>
      <c r="G31" s="7">
        <v>95.9</v>
      </c>
      <c r="H31" s="9">
        <v>57.480000000000004</v>
      </c>
      <c r="I31" s="7">
        <v>82.729011022073692</v>
      </c>
      <c r="J31" s="7">
        <v>1.74</v>
      </c>
      <c r="K31" s="9">
        <v>2</v>
      </c>
      <c r="L31" s="7">
        <v>9.5939933259176851</v>
      </c>
      <c r="M31" s="11">
        <v>4.4380963024684927</v>
      </c>
      <c r="N31" s="7">
        <v>49.403087072463769</v>
      </c>
      <c r="O31" s="9">
        <v>131.4342541277519</v>
      </c>
      <c r="P31" s="7">
        <v>38.180548871201573</v>
      </c>
      <c r="Q31" s="9">
        <v>91.68</v>
      </c>
      <c r="R31" s="9">
        <v>137.31</v>
      </c>
      <c r="S31" s="9">
        <v>40</v>
      </c>
      <c r="T31" s="6">
        <f t="shared" si="0"/>
        <v>101</v>
      </c>
      <c r="U31" s="6">
        <v>40</v>
      </c>
      <c r="V31" s="6">
        <f t="shared" si="1"/>
        <v>45</v>
      </c>
    </row>
    <row r="32" spans="1:22" ht="15">
      <c r="A32" s="3">
        <v>3119</v>
      </c>
      <c r="B32" s="14">
        <v>7197</v>
      </c>
      <c r="C32" s="6" t="s">
        <v>27</v>
      </c>
      <c r="D32" s="13">
        <v>6085</v>
      </c>
      <c r="E32" s="6">
        <v>2</v>
      </c>
      <c r="F32" s="7">
        <v>46.981627296587924</v>
      </c>
      <c r="G32" s="7">
        <v>97.2</v>
      </c>
      <c r="H32" s="9">
        <v>66.510000000000005</v>
      </c>
      <c r="I32" s="7">
        <v>83.340932152326673</v>
      </c>
      <c r="J32" s="7">
        <v>1.97</v>
      </c>
      <c r="K32" s="9">
        <v>2</v>
      </c>
      <c r="L32" s="7">
        <v>10.125698324022347</v>
      </c>
      <c r="M32" s="11">
        <v>5.368634000830049</v>
      </c>
      <c r="N32" s="7">
        <v>54.466204736842109</v>
      </c>
      <c r="O32" s="9">
        <v>143.35773457226807</v>
      </c>
      <c r="P32" s="7">
        <v>59.467610338232483</v>
      </c>
      <c r="Q32" s="9">
        <v>41.59</v>
      </c>
      <c r="R32" s="9">
        <v>200.54</v>
      </c>
      <c r="S32" s="9">
        <v>57</v>
      </c>
      <c r="T32" s="6">
        <f t="shared" si="0"/>
        <v>13</v>
      </c>
      <c r="U32" s="6">
        <v>38</v>
      </c>
      <c r="V32" s="6">
        <f t="shared" si="1"/>
        <v>67</v>
      </c>
    </row>
    <row r="33" spans="1:22" ht="15">
      <c r="A33" s="3">
        <v>3120</v>
      </c>
      <c r="B33" s="14">
        <v>7140</v>
      </c>
      <c r="C33" s="6" t="s">
        <v>28</v>
      </c>
      <c r="D33" s="13">
        <v>6089</v>
      </c>
      <c r="E33" s="6">
        <v>2</v>
      </c>
      <c r="F33" s="7">
        <v>43.438256658595641</v>
      </c>
      <c r="G33" s="7">
        <v>96.4</v>
      </c>
      <c r="H33" s="9">
        <v>65.78</v>
      </c>
      <c r="I33" s="7">
        <v>82.639734122653152</v>
      </c>
      <c r="J33" s="7">
        <v>1.85</v>
      </c>
      <c r="K33" s="9">
        <v>1</v>
      </c>
      <c r="L33" s="7">
        <v>10.172798216276476</v>
      </c>
      <c r="M33" s="11">
        <v>5.3476929773530024</v>
      </c>
      <c r="N33" s="7">
        <v>53.137437522580655</v>
      </c>
      <c r="O33" s="9">
        <v>140.12940292598333</v>
      </c>
      <c r="P33" s="7">
        <v>52.735035008198025</v>
      </c>
      <c r="Q33" s="9">
        <v>46.15</v>
      </c>
      <c r="R33" s="9">
        <v>184.96</v>
      </c>
      <c r="S33" s="9">
        <v>58</v>
      </c>
      <c r="T33" s="6">
        <f t="shared" si="0"/>
        <v>9</v>
      </c>
      <c r="U33" s="6">
        <v>42</v>
      </c>
      <c r="V33" s="6">
        <f t="shared" si="1"/>
        <v>25</v>
      </c>
    </row>
    <row r="34" spans="1:22" ht="15">
      <c r="A34" s="3">
        <v>3121</v>
      </c>
      <c r="B34" s="14">
        <v>7417</v>
      </c>
      <c r="C34" s="6" t="s">
        <v>29</v>
      </c>
      <c r="D34" s="13">
        <v>6094</v>
      </c>
      <c r="E34" s="6">
        <v>2</v>
      </c>
      <c r="F34" s="7">
        <v>48.247978436657682</v>
      </c>
      <c r="G34" s="7">
        <v>98.6</v>
      </c>
      <c r="H34" s="9">
        <v>58.34</v>
      </c>
      <c r="I34" s="7">
        <v>82.243565213501157</v>
      </c>
      <c r="J34" s="7">
        <v>1.83</v>
      </c>
      <c r="K34" s="9">
        <v>1</v>
      </c>
      <c r="L34" s="7">
        <v>10.335195530726256</v>
      </c>
      <c r="M34" s="11">
        <v>5.1666888357588352</v>
      </c>
      <c r="N34" s="7">
        <v>52.666009642384104</v>
      </c>
      <c r="O34" s="9">
        <v>130.03827471932203</v>
      </c>
      <c r="P34" s="7">
        <v>41.895289353047652</v>
      </c>
      <c r="Q34" s="9">
        <v>65.64</v>
      </c>
      <c r="R34" s="9">
        <v>176.79</v>
      </c>
      <c r="S34" s="9">
        <v>52</v>
      </c>
      <c r="T34" s="6">
        <f t="shared" si="0"/>
        <v>28</v>
      </c>
      <c r="U34" s="6">
        <v>46</v>
      </c>
      <c r="V34" s="6">
        <f t="shared" si="1"/>
        <v>5</v>
      </c>
    </row>
    <row r="35" spans="1:22" ht="15">
      <c r="A35" s="3">
        <v>3122</v>
      </c>
      <c r="B35" s="14">
        <v>7172</v>
      </c>
      <c r="C35" s="6" t="s">
        <v>30</v>
      </c>
      <c r="D35" s="13">
        <v>6095</v>
      </c>
      <c r="E35" s="6">
        <v>2</v>
      </c>
      <c r="F35" s="7">
        <v>45.837563451776653</v>
      </c>
      <c r="G35" s="7">
        <v>97.3</v>
      </c>
      <c r="H35" s="9">
        <v>65.959999999999994</v>
      </c>
      <c r="I35" s="7">
        <v>83.223746551470597</v>
      </c>
      <c r="J35" s="7">
        <v>1.7</v>
      </c>
      <c r="K35" s="9">
        <v>1</v>
      </c>
      <c r="L35" s="7">
        <v>9.5514950166112964</v>
      </c>
      <c r="M35" s="11">
        <v>4.8333704458069207</v>
      </c>
      <c r="N35" s="7">
        <v>52.407350760563375</v>
      </c>
      <c r="O35" s="9">
        <v>107.92338695453095</v>
      </c>
      <c r="P35" s="7">
        <v>54.278372652868171</v>
      </c>
      <c r="Q35" s="9">
        <v>121.71</v>
      </c>
      <c r="R35" s="9">
        <v>178.55</v>
      </c>
      <c r="S35" s="9">
        <v>48</v>
      </c>
      <c r="T35" s="6">
        <f t="shared" si="0"/>
        <v>52</v>
      </c>
      <c r="U35" s="6">
        <v>44</v>
      </c>
      <c r="V35" s="6">
        <f t="shared" si="1"/>
        <v>15</v>
      </c>
    </row>
    <row r="36" spans="1:22" ht="15">
      <c r="A36" s="3">
        <v>3123</v>
      </c>
      <c r="B36" s="14">
        <v>7130</v>
      </c>
      <c r="C36" s="6" t="s">
        <v>31</v>
      </c>
      <c r="D36" s="13">
        <v>6098</v>
      </c>
      <c r="E36" s="6">
        <v>2</v>
      </c>
      <c r="F36" s="7">
        <v>44.444444444444443</v>
      </c>
      <c r="G36" s="7">
        <v>98.4</v>
      </c>
      <c r="H36" s="9">
        <v>56.44</v>
      </c>
      <c r="I36" s="7">
        <v>82.711122011393698</v>
      </c>
      <c r="J36" s="7">
        <v>1.62</v>
      </c>
      <c r="K36" s="9">
        <v>1</v>
      </c>
      <c r="L36" s="7">
        <v>10</v>
      </c>
      <c r="M36" s="11">
        <v>4.9803803143868421</v>
      </c>
      <c r="N36" s="7">
        <v>54.288264737588669</v>
      </c>
      <c r="O36" s="9">
        <v>118.44509372456123</v>
      </c>
      <c r="P36" s="7">
        <v>45.366788913367024</v>
      </c>
      <c r="Q36" s="9">
        <v>89.42</v>
      </c>
      <c r="R36" s="9">
        <v>167.41</v>
      </c>
      <c r="S36" s="9">
        <v>49</v>
      </c>
      <c r="T36" s="6">
        <f t="shared" si="0"/>
        <v>47</v>
      </c>
      <c r="U36" s="6">
        <v>49</v>
      </c>
      <c r="V36" s="6">
        <f t="shared" si="1"/>
        <v>1</v>
      </c>
    </row>
    <row r="37" spans="1:22" ht="15">
      <c r="A37" s="3">
        <v>3124</v>
      </c>
      <c r="B37" s="14">
        <v>7258</v>
      </c>
      <c r="C37" s="6" t="s">
        <v>32</v>
      </c>
      <c r="D37" s="13">
        <v>6099</v>
      </c>
      <c r="E37" s="6">
        <v>2</v>
      </c>
      <c r="F37" s="7">
        <v>44.641975308641975</v>
      </c>
      <c r="G37" s="7">
        <v>98.5</v>
      </c>
      <c r="H37" s="9">
        <v>54.239999999999995</v>
      </c>
      <c r="I37" s="7">
        <v>82.053174098885648</v>
      </c>
      <c r="J37" s="7">
        <v>1.9100000000000001</v>
      </c>
      <c r="K37" s="9">
        <v>2</v>
      </c>
      <c r="L37" s="7">
        <v>10.785398230088495</v>
      </c>
      <c r="M37" s="11">
        <v>4.9542363219827141</v>
      </c>
      <c r="N37" s="7">
        <v>49.110225961290325</v>
      </c>
      <c r="O37" s="9">
        <v>155.12685293399483</v>
      </c>
      <c r="P37" s="7">
        <v>50.356546557236207</v>
      </c>
      <c r="Q37" s="9">
        <v>141.94</v>
      </c>
      <c r="R37" s="9">
        <v>156.38</v>
      </c>
      <c r="S37" s="9">
        <v>50</v>
      </c>
      <c r="T37" s="6">
        <f t="shared" si="0"/>
        <v>41</v>
      </c>
      <c r="U37" s="6">
        <v>36</v>
      </c>
      <c r="V37" s="6">
        <f t="shared" si="1"/>
        <v>84</v>
      </c>
    </row>
    <row r="38" spans="1:22" ht="15">
      <c r="A38" s="3">
        <v>3125</v>
      </c>
      <c r="B38" s="14">
        <v>7367</v>
      </c>
      <c r="C38" s="6" t="s">
        <v>33</v>
      </c>
      <c r="D38" s="13">
        <v>6101</v>
      </c>
      <c r="E38" s="6">
        <v>2</v>
      </c>
      <c r="F38" s="7">
        <v>41.926605504587158</v>
      </c>
      <c r="G38" s="7">
        <v>98.4</v>
      </c>
      <c r="H38" s="9">
        <v>55.760000000000005</v>
      </c>
      <c r="I38" s="7">
        <v>81.893336053024427</v>
      </c>
      <c r="J38" s="7">
        <v>1.9</v>
      </c>
      <c r="K38" s="9">
        <v>2</v>
      </c>
      <c r="L38" s="7">
        <v>10.393873085339168</v>
      </c>
      <c r="M38" s="11">
        <v>4.7496201124297315</v>
      </c>
      <c r="N38" s="7">
        <v>49.999836493150696</v>
      </c>
      <c r="O38" s="9">
        <v>136.30064500251217</v>
      </c>
      <c r="P38" s="7">
        <v>44.924904605769299</v>
      </c>
      <c r="Q38" s="9">
        <v>115.04</v>
      </c>
      <c r="R38" s="9">
        <v>150.1</v>
      </c>
      <c r="S38" s="9">
        <v>42</v>
      </c>
      <c r="T38" s="6">
        <f t="shared" ref="T38:T69" si="2">RANK(S38,$S$6:$S$125)</f>
        <v>95</v>
      </c>
      <c r="U38" s="6">
        <v>40</v>
      </c>
      <c r="V38" s="6">
        <f t="shared" ref="V38:V69" si="3">RANK(U38,$U$6:$U$125)</f>
        <v>45</v>
      </c>
    </row>
    <row r="39" spans="1:22" ht="15">
      <c r="A39" s="3">
        <v>3126</v>
      </c>
      <c r="B39" s="14">
        <v>7429</v>
      </c>
      <c r="C39" s="6" t="s">
        <v>34</v>
      </c>
      <c r="D39" s="13">
        <v>6103</v>
      </c>
      <c r="E39" s="6">
        <v>2</v>
      </c>
      <c r="F39" s="7">
        <v>38.927038626609445</v>
      </c>
      <c r="G39" s="7">
        <v>97.3</v>
      </c>
      <c r="H39" s="9">
        <v>56.92</v>
      </c>
      <c r="I39" s="7">
        <v>82.925160724401863</v>
      </c>
      <c r="J39" s="7">
        <v>2.11</v>
      </c>
      <c r="K39" s="9">
        <v>2</v>
      </c>
      <c r="L39" s="7">
        <v>9.8539140022050713</v>
      </c>
      <c r="M39" s="11">
        <v>4.7015103329864729</v>
      </c>
      <c r="N39" s="7">
        <v>52.007498474820146</v>
      </c>
      <c r="O39" s="9">
        <v>136.41062536518231</v>
      </c>
      <c r="P39" s="7">
        <v>50.274563847331301</v>
      </c>
      <c r="Q39" s="9">
        <v>124.55</v>
      </c>
      <c r="R39" s="9">
        <v>150.99</v>
      </c>
      <c r="S39" s="9">
        <v>43</v>
      </c>
      <c r="T39" s="6">
        <f t="shared" si="2"/>
        <v>90</v>
      </c>
      <c r="U39" s="6">
        <v>38</v>
      </c>
      <c r="V39" s="6">
        <f t="shared" si="3"/>
        <v>67</v>
      </c>
    </row>
    <row r="40" spans="1:22" ht="15">
      <c r="A40" s="3">
        <v>3127</v>
      </c>
      <c r="B40" s="14">
        <v>7385</v>
      </c>
      <c r="C40" s="6" t="s">
        <v>35</v>
      </c>
      <c r="D40" s="13">
        <v>6106</v>
      </c>
      <c r="E40" s="6">
        <v>2</v>
      </c>
      <c r="F40" s="7">
        <v>44.068627450980394</v>
      </c>
      <c r="G40" s="7">
        <v>98.1</v>
      </c>
      <c r="H40" s="9">
        <v>53.67</v>
      </c>
      <c r="I40" s="7">
        <v>82.597118310756628</v>
      </c>
      <c r="J40" s="7">
        <v>1.75</v>
      </c>
      <c r="K40" s="9">
        <v>2</v>
      </c>
      <c r="L40" s="7">
        <v>9.3159065628476085</v>
      </c>
      <c r="M40" s="11">
        <v>4.8172418645833348</v>
      </c>
      <c r="N40" s="7">
        <v>56.917565415384637</v>
      </c>
      <c r="O40" s="9">
        <v>121.18931168358959</v>
      </c>
      <c r="P40" s="7">
        <v>44.386110254109468</v>
      </c>
      <c r="Q40" s="9">
        <v>80.33</v>
      </c>
      <c r="R40" s="9">
        <v>159.49</v>
      </c>
      <c r="S40" s="9">
        <v>51</v>
      </c>
      <c r="T40" s="6">
        <f t="shared" si="2"/>
        <v>35</v>
      </c>
      <c r="U40" s="6">
        <v>40</v>
      </c>
      <c r="V40" s="6">
        <f t="shared" si="3"/>
        <v>45</v>
      </c>
    </row>
    <row r="41" spans="1:22" ht="15">
      <c r="A41" s="3">
        <v>3128</v>
      </c>
      <c r="B41" s="14">
        <v>7300</v>
      </c>
      <c r="C41" s="6" t="s">
        <v>36</v>
      </c>
      <c r="D41" s="13">
        <v>6107</v>
      </c>
      <c r="E41" s="6">
        <v>2</v>
      </c>
      <c r="F41" s="7">
        <v>43.707317073170735</v>
      </c>
      <c r="G41" s="7">
        <v>99.1</v>
      </c>
      <c r="H41" s="9">
        <v>60.980000000000004</v>
      </c>
      <c r="I41" s="7">
        <v>83.158445523352512</v>
      </c>
      <c r="J41" s="7">
        <v>1.6400000000000001</v>
      </c>
      <c r="K41" s="9">
        <v>1</v>
      </c>
      <c r="L41" s="7">
        <v>9.9051339285714288</v>
      </c>
      <c r="M41" s="11">
        <v>4.9065005840634139</v>
      </c>
      <c r="N41" s="7">
        <v>54.94134610218979</v>
      </c>
      <c r="O41" s="9">
        <v>160.93284691692176</v>
      </c>
      <c r="P41" s="7">
        <v>54.056499623269644</v>
      </c>
      <c r="Q41" s="9">
        <v>53.62</v>
      </c>
      <c r="R41" s="9">
        <v>160.86000000000001</v>
      </c>
      <c r="S41" s="9">
        <v>55</v>
      </c>
      <c r="T41" s="6">
        <f t="shared" si="2"/>
        <v>18</v>
      </c>
      <c r="U41" s="6">
        <v>46</v>
      </c>
      <c r="V41" s="6">
        <f t="shared" si="3"/>
        <v>5</v>
      </c>
    </row>
    <row r="42" spans="1:22" ht="15">
      <c r="A42" s="3">
        <v>3129</v>
      </c>
      <c r="B42" s="14">
        <v>7329</v>
      </c>
      <c r="C42" s="6" t="s">
        <v>37</v>
      </c>
      <c r="D42" s="13">
        <v>6111</v>
      </c>
      <c r="E42" s="6">
        <v>2</v>
      </c>
      <c r="F42" s="7">
        <v>46.579634464751955</v>
      </c>
      <c r="G42" s="7">
        <v>98.9</v>
      </c>
      <c r="H42" s="9">
        <v>58.36</v>
      </c>
      <c r="I42" s="7">
        <v>83.143620301460174</v>
      </c>
      <c r="J42" s="7">
        <v>1.6400000000000001</v>
      </c>
      <c r="K42" s="9">
        <v>1</v>
      </c>
      <c r="L42" s="7">
        <v>10.299887892376681</v>
      </c>
      <c r="M42" s="11">
        <v>4.5418017750861441</v>
      </c>
      <c r="N42" s="7">
        <v>47.023606054054049</v>
      </c>
      <c r="O42" s="9">
        <v>129.01814326946834</v>
      </c>
      <c r="P42" s="7">
        <v>40.174130405380254</v>
      </c>
      <c r="Q42" s="9">
        <v>251.44</v>
      </c>
      <c r="R42" s="9">
        <v>137.26</v>
      </c>
      <c r="S42" s="9">
        <v>41</v>
      </c>
      <c r="T42" s="6">
        <f t="shared" si="2"/>
        <v>97</v>
      </c>
      <c r="U42" s="6">
        <v>38</v>
      </c>
      <c r="V42" s="6">
        <f t="shared" si="3"/>
        <v>67</v>
      </c>
    </row>
    <row r="43" spans="1:22" ht="15">
      <c r="A43" s="3">
        <v>3130</v>
      </c>
      <c r="B43" s="14">
        <v>7341</v>
      </c>
      <c r="C43" s="6" t="s">
        <v>38</v>
      </c>
      <c r="D43" s="13">
        <v>6114</v>
      </c>
      <c r="E43" s="6">
        <v>2</v>
      </c>
      <c r="F43" s="7">
        <v>42.523809523809526</v>
      </c>
      <c r="G43" s="7">
        <v>96.9</v>
      </c>
      <c r="H43" s="9">
        <v>60.400000000000006</v>
      </c>
      <c r="I43" s="7">
        <v>83.238258962912681</v>
      </c>
      <c r="J43" s="7">
        <v>1.6600000000000001</v>
      </c>
      <c r="K43" s="9">
        <v>1</v>
      </c>
      <c r="L43" s="7">
        <v>9.8684210526315788</v>
      </c>
      <c r="M43" s="11">
        <v>5.0375451017214399</v>
      </c>
      <c r="N43" s="7">
        <v>54.025029146853143</v>
      </c>
      <c r="O43" s="9">
        <v>153.40256237348297</v>
      </c>
      <c r="P43" s="7">
        <v>54.947768409119007</v>
      </c>
      <c r="Q43" s="9">
        <v>35.200000000000003</v>
      </c>
      <c r="R43" s="9">
        <v>175.41</v>
      </c>
      <c r="S43" s="9">
        <v>55</v>
      </c>
      <c r="T43" s="6">
        <f t="shared" si="2"/>
        <v>18</v>
      </c>
      <c r="U43" s="6">
        <v>46</v>
      </c>
      <c r="V43" s="6">
        <f t="shared" si="3"/>
        <v>5</v>
      </c>
    </row>
    <row r="44" spans="1:22" ht="15">
      <c r="A44" s="3">
        <v>3131</v>
      </c>
      <c r="B44" s="14">
        <v>7254</v>
      </c>
      <c r="C44" s="6" t="s">
        <v>39</v>
      </c>
      <c r="D44" s="13">
        <v>6115</v>
      </c>
      <c r="E44" s="6">
        <v>2</v>
      </c>
      <c r="F44" s="7">
        <v>43.685503685503683</v>
      </c>
      <c r="G44" s="7">
        <v>97.5</v>
      </c>
      <c r="H44" s="9">
        <v>56.989999999999995</v>
      </c>
      <c r="I44" s="7">
        <v>82.627444517688431</v>
      </c>
      <c r="J44" s="7">
        <v>1.54</v>
      </c>
      <c r="K44" s="9">
        <v>1</v>
      </c>
      <c r="L44" s="7">
        <v>9.7722159730033731</v>
      </c>
      <c r="M44" s="11">
        <v>4.844950395833334</v>
      </c>
      <c r="N44" s="7">
        <v>53.538444661870514</v>
      </c>
      <c r="O44" s="9">
        <v>140.70525754239688</v>
      </c>
      <c r="P44" s="7">
        <v>41.404361340487306</v>
      </c>
      <c r="Q44" s="9">
        <v>93.16</v>
      </c>
      <c r="R44" s="9">
        <v>163.13999999999999</v>
      </c>
      <c r="S44" s="9">
        <v>52</v>
      </c>
      <c r="T44" s="6">
        <f t="shared" si="2"/>
        <v>28</v>
      </c>
      <c r="U44" s="6">
        <v>41</v>
      </c>
      <c r="V44" s="6">
        <f t="shared" si="3"/>
        <v>31</v>
      </c>
    </row>
    <row r="45" spans="1:22" ht="15">
      <c r="A45" s="3">
        <v>3132</v>
      </c>
      <c r="B45" s="14">
        <v>7491</v>
      </c>
      <c r="C45" s="6" t="s">
        <v>40</v>
      </c>
      <c r="D45" s="13">
        <v>6118</v>
      </c>
      <c r="E45" s="6">
        <v>2</v>
      </c>
      <c r="F45" s="7">
        <v>48.130081300813011</v>
      </c>
      <c r="G45" s="7">
        <v>97.7</v>
      </c>
      <c r="H45" s="9">
        <v>70.25</v>
      </c>
      <c r="I45" s="7">
        <v>82.422838565047698</v>
      </c>
      <c r="J45" s="7">
        <v>1.53</v>
      </c>
      <c r="K45" s="9">
        <v>1</v>
      </c>
      <c r="L45" s="7">
        <v>11.542792792792794</v>
      </c>
      <c r="M45" s="11">
        <v>5.457380468994268</v>
      </c>
      <c r="N45" s="7">
        <v>49.283355858823526</v>
      </c>
      <c r="O45" s="9">
        <v>153.56681043129754</v>
      </c>
      <c r="P45" s="7">
        <v>49.218823154321612</v>
      </c>
      <c r="Q45" s="9">
        <v>156.66</v>
      </c>
      <c r="R45" s="9">
        <v>194.43</v>
      </c>
      <c r="S45" s="9">
        <v>53</v>
      </c>
      <c r="T45" s="6">
        <f t="shared" si="2"/>
        <v>25</v>
      </c>
      <c r="U45" s="6">
        <v>25</v>
      </c>
      <c r="V45" s="6">
        <f t="shared" si="3"/>
        <v>118</v>
      </c>
    </row>
    <row r="46" spans="1:22" ht="15">
      <c r="A46" s="3">
        <v>3133</v>
      </c>
      <c r="B46" s="14">
        <v>7091</v>
      </c>
      <c r="C46" s="6" t="s">
        <v>41</v>
      </c>
      <c r="D46" s="13">
        <v>6120</v>
      </c>
      <c r="E46" s="6">
        <v>2</v>
      </c>
      <c r="F46" s="7">
        <v>47.870619946091644</v>
      </c>
      <c r="G46" s="7">
        <v>99</v>
      </c>
      <c r="H46" s="9">
        <v>67.34</v>
      </c>
      <c r="I46" s="7">
        <v>82.58987669062283</v>
      </c>
      <c r="J46" s="7">
        <v>1.8</v>
      </c>
      <c r="K46" s="9">
        <v>2</v>
      </c>
      <c r="L46" s="7">
        <v>9.642454954954955</v>
      </c>
      <c r="M46" s="11">
        <v>4.5373207266291899</v>
      </c>
      <c r="N46" s="7">
        <v>48.766996251748253</v>
      </c>
      <c r="O46" s="9">
        <v>137.61528449220748</v>
      </c>
      <c r="P46" s="7">
        <v>40.743999233883073</v>
      </c>
      <c r="Q46" s="9">
        <v>139.16</v>
      </c>
      <c r="R46" s="9">
        <v>140.11000000000001</v>
      </c>
      <c r="S46" s="9">
        <v>43</v>
      </c>
      <c r="T46" s="6">
        <f t="shared" si="2"/>
        <v>90</v>
      </c>
      <c r="U46" s="6">
        <v>35</v>
      </c>
      <c r="V46" s="6">
        <f t="shared" si="3"/>
        <v>92</v>
      </c>
    </row>
    <row r="47" spans="1:22" ht="15">
      <c r="A47" s="3">
        <v>3134</v>
      </c>
      <c r="B47" s="14">
        <v>7313</v>
      </c>
      <c r="C47" s="6" t="s">
        <v>42</v>
      </c>
      <c r="D47" s="13">
        <v>6121</v>
      </c>
      <c r="E47" s="6">
        <v>2</v>
      </c>
      <c r="F47" s="7">
        <v>45.038167938931295</v>
      </c>
      <c r="G47" s="7">
        <v>97.8</v>
      </c>
      <c r="H47" s="9">
        <v>60.430000000000007</v>
      </c>
      <c r="I47" s="7">
        <v>82.627444517688431</v>
      </c>
      <c r="J47" s="7" t="s">
        <v>166</v>
      </c>
      <c r="K47" s="9">
        <v>3</v>
      </c>
      <c r="L47" s="7">
        <v>9.7457627118644066</v>
      </c>
      <c r="M47" s="11">
        <v>4.715643916666667</v>
      </c>
      <c r="N47" s="7">
        <v>53.653548562962968</v>
      </c>
      <c r="O47" s="9">
        <v>115.89085991979294</v>
      </c>
      <c r="P47" s="7">
        <v>43.734020366916383</v>
      </c>
      <c r="Q47" s="9">
        <v>86.51</v>
      </c>
      <c r="R47" s="9">
        <v>150.72</v>
      </c>
      <c r="S47" s="9">
        <v>43</v>
      </c>
      <c r="T47" s="6">
        <f t="shared" si="2"/>
        <v>90</v>
      </c>
      <c r="U47" s="6">
        <v>42</v>
      </c>
      <c r="V47" s="6">
        <f t="shared" si="3"/>
        <v>25</v>
      </c>
    </row>
    <row r="48" spans="1:22" ht="15">
      <c r="A48" s="3">
        <v>3135</v>
      </c>
      <c r="B48" s="14">
        <v>7007</v>
      </c>
      <c r="C48" s="6" t="s">
        <v>43</v>
      </c>
      <c r="D48" s="13">
        <v>6132</v>
      </c>
      <c r="E48" s="6">
        <v>2</v>
      </c>
      <c r="F48" s="7">
        <v>45.089058524173026</v>
      </c>
      <c r="G48" s="7">
        <v>98.6</v>
      </c>
      <c r="H48" s="9">
        <v>56.72</v>
      </c>
      <c r="I48" s="7">
        <v>82.314690548876769</v>
      </c>
      <c r="J48" s="7" t="s">
        <v>166</v>
      </c>
      <c r="K48" s="9">
        <v>3</v>
      </c>
      <c r="L48" s="7">
        <v>10.933972911963883</v>
      </c>
      <c r="M48" s="11">
        <v>4.9471033086316663</v>
      </c>
      <c r="N48" s="7">
        <v>47.1037980621118</v>
      </c>
      <c r="O48" s="9">
        <v>122.18579500682</v>
      </c>
      <c r="P48" s="7">
        <v>52.308755569749572</v>
      </c>
      <c r="Q48" s="9">
        <v>267.77</v>
      </c>
      <c r="R48" s="9">
        <v>161.44</v>
      </c>
      <c r="S48" s="9">
        <v>46</v>
      </c>
      <c r="T48" s="6">
        <f t="shared" si="2"/>
        <v>72</v>
      </c>
      <c r="U48" s="6">
        <v>32</v>
      </c>
      <c r="V48" s="6">
        <f t="shared" si="3"/>
        <v>106</v>
      </c>
    </row>
    <row r="49" spans="1:22" ht="15">
      <c r="A49" s="3">
        <v>3136</v>
      </c>
      <c r="B49" s="14">
        <v>7149</v>
      </c>
      <c r="C49" s="6" t="s">
        <v>44</v>
      </c>
      <c r="D49" s="13">
        <v>6143</v>
      </c>
      <c r="E49" s="6">
        <v>2</v>
      </c>
      <c r="F49" s="7">
        <v>47.816711590296499</v>
      </c>
      <c r="G49" s="7">
        <v>97.7</v>
      </c>
      <c r="H49" s="9">
        <v>66.52</v>
      </c>
      <c r="I49" s="7">
        <v>82.17951157633766</v>
      </c>
      <c r="J49" s="7">
        <v>1.8</v>
      </c>
      <c r="K49" s="9">
        <v>2</v>
      </c>
      <c r="L49" s="7">
        <v>10.005636978579481</v>
      </c>
      <c r="M49" s="11">
        <v>4.5802699811990806</v>
      </c>
      <c r="N49" s="7">
        <v>47.729529034013595</v>
      </c>
      <c r="O49" s="9">
        <v>133.53925286127736</v>
      </c>
      <c r="P49" s="7">
        <v>45.868748129665413</v>
      </c>
      <c r="Q49" s="9">
        <v>205.43</v>
      </c>
      <c r="R49" s="9">
        <v>141.12</v>
      </c>
      <c r="S49" s="9">
        <v>40</v>
      </c>
      <c r="T49" s="6">
        <f t="shared" si="2"/>
        <v>101</v>
      </c>
      <c r="U49" s="6">
        <v>37</v>
      </c>
      <c r="V49" s="6">
        <f t="shared" si="3"/>
        <v>75</v>
      </c>
    </row>
    <row r="50" spans="1:22" ht="15">
      <c r="A50" s="3">
        <v>3137</v>
      </c>
      <c r="B50" s="14">
        <v>7246</v>
      </c>
      <c r="C50" s="6" t="s">
        <v>45</v>
      </c>
      <c r="D50" s="13">
        <v>6145</v>
      </c>
      <c r="E50" s="6">
        <v>2</v>
      </c>
      <c r="F50" s="7">
        <v>44.522613065326631</v>
      </c>
      <c r="G50" s="7">
        <v>97.3</v>
      </c>
      <c r="H50" s="9">
        <v>55.7</v>
      </c>
      <c r="I50" s="7">
        <v>82.148404849223567</v>
      </c>
      <c r="J50" s="7">
        <v>1.6099999999999999</v>
      </c>
      <c r="K50" s="9">
        <v>1</v>
      </c>
      <c r="L50" s="7">
        <v>9.5231376975169315</v>
      </c>
      <c r="M50" s="11">
        <v>4.6733574958298583</v>
      </c>
      <c r="N50" s="7">
        <v>53.524591164179107</v>
      </c>
      <c r="O50" s="9">
        <v>124.25198293835294</v>
      </c>
      <c r="P50" s="7">
        <v>47.082674308878275</v>
      </c>
      <c r="Q50" s="9">
        <v>56.75</v>
      </c>
      <c r="R50" s="9">
        <v>148.38999999999999</v>
      </c>
      <c r="S50" s="9">
        <v>48</v>
      </c>
      <c r="T50" s="6">
        <f t="shared" si="2"/>
        <v>52</v>
      </c>
      <c r="U50" s="6">
        <v>40</v>
      </c>
      <c r="V50" s="6">
        <f t="shared" si="3"/>
        <v>45</v>
      </c>
    </row>
    <row r="51" spans="1:22" ht="15">
      <c r="A51" s="3">
        <v>3138</v>
      </c>
      <c r="B51" s="14">
        <v>7277</v>
      </c>
      <c r="C51" s="6" t="s">
        <v>46</v>
      </c>
      <c r="D51" s="13">
        <v>6147</v>
      </c>
      <c r="E51" s="6">
        <v>2</v>
      </c>
      <c r="F51" s="7">
        <v>44.289276807980052</v>
      </c>
      <c r="G51" s="7">
        <v>97.4</v>
      </c>
      <c r="H51" s="9">
        <v>62.81</v>
      </c>
      <c r="I51" s="7">
        <v>82.21675078778388</v>
      </c>
      <c r="J51" s="7">
        <v>1.71</v>
      </c>
      <c r="K51" s="9">
        <v>2</v>
      </c>
      <c r="L51" s="7">
        <v>9.360923423423424</v>
      </c>
      <c r="M51" s="11">
        <v>4.4353245133756642</v>
      </c>
      <c r="N51" s="7">
        <v>47.675706405594411</v>
      </c>
      <c r="O51" s="9">
        <v>105.51720522637969</v>
      </c>
      <c r="P51" s="7">
        <v>49.684112304947909</v>
      </c>
      <c r="Q51" s="9">
        <v>122.33</v>
      </c>
      <c r="R51" s="9">
        <v>138.97999999999999</v>
      </c>
      <c r="S51" s="9">
        <v>40</v>
      </c>
      <c r="T51" s="6">
        <f t="shared" si="2"/>
        <v>101</v>
      </c>
      <c r="U51" s="6">
        <v>46</v>
      </c>
      <c r="V51" s="6">
        <f t="shared" si="3"/>
        <v>5</v>
      </c>
    </row>
    <row r="52" spans="1:22" ht="15">
      <c r="A52" s="3">
        <v>3139</v>
      </c>
      <c r="B52" s="14">
        <v>7346</v>
      </c>
      <c r="C52" s="6" t="s">
        <v>47</v>
      </c>
      <c r="D52" s="13">
        <v>6149</v>
      </c>
      <c r="E52" s="6">
        <v>2</v>
      </c>
      <c r="F52" s="7">
        <v>38.484848484848484</v>
      </c>
      <c r="G52" s="7">
        <v>96.6</v>
      </c>
      <c r="H52" s="9">
        <v>61.489999999999995</v>
      </c>
      <c r="I52" s="7">
        <v>82.208531874497069</v>
      </c>
      <c r="J52" s="7">
        <v>1.75</v>
      </c>
      <c r="K52" s="9">
        <v>1</v>
      </c>
      <c r="L52" s="7">
        <v>9.4910011248593928</v>
      </c>
      <c r="M52" s="11">
        <v>4.5721514753414656</v>
      </c>
      <c r="N52" s="7">
        <v>51.590005647058817</v>
      </c>
      <c r="O52" s="9">
        <v>117.48902357829643</v>
      </c>
      <c r="P52" s="7">
        <v>52.141160729769489</v>
      </c>
      <c r="Q52" s="9">
        <v>142.65</v>
      </c>
      <c r="R52" s="9">
        <v>143.55000000000001</v>
      </c>
      <c r="S52" s="9">
        <v>41</v>
      </c>
      <c r="T52" s="6">
        <f t="shared" si="2"/>
        <v>97</v>
      </c>
      <c r="U52" s="6">
        <v>36</v>
      </c>
      <c r="V52" s="6">
        <f t="shared" si="3"/>
        <v>84</v>
      </c>
    </row>
    <row r="53" spans="1:22" ht="15">
      <c r="A53" s="3">
        <v>3140</v>
      </c>
      <c r="B53" s="14">
        <v>7175</v>
      </c>
      <c r="C53" s="6" t="s">
        <v>48</v>
      </c>
      <c r="D53" s="13">
        <v>6150</v>
      </c>
      <c r="E53" s="6">
        <v>2</v>
      </c>
      <c r="F53" s="7">
        <v>41.933962264150942</v>
      </c>
      <c r="G53" s="7">
        <v>97</v>
      </c>
      <c r="H53" s="9">
        <v>55.349999999999994</v>
      </c>
      <c r="I53" s="7">
        <v>82.522974413507427</v>
      </c>
      <c r="J53" s="7">
        <v>1.87</v>
      </c>
      <c r="K53" s="9">
        <v>2</v>
      </c>
      <c r="L53" s="7">
        <v>10.475253093363328</v>
      </c>
      <c r="M53" s="11">
        <v>4.8669715834462624</v>
      </c>
      <c r="N53" s="7">
        <v>50.13568687248322</v>
      </c>
      <c r="O53" s="9">
        <v>133.89062736121792</v>
      </c>
      <c r="P53" s="7">
        <v>51.361673469015727</v>
      </c>
      <c r="Q53" s="9">
        <v>122.08</v>
      </c>
      <c r="R53" s="9">
        <v>161.19</v>
      </c>
      <c r="S53" s="9">
        <v>49</v>
      </c>
      <c r="T53" s="6">
        <f t="shared" si="2"/>
        <v>47</v>
      </c>
      <c r="U53" s="6">
        <v>40</v>
      </c>
      <c r="V53" s="6">
        <f t="shared" si="3"/>
        <v>45</v>
      </c>
    </row>
    <row r="54" spans="1:22" ht="15">
      <c r="A54" s="3">
        <v>3141</v>
      </c>
      <c r="B54" s="14">
        <v>7003</v>
      </c>
      <c r="C54" s="6" t="s">
        <v>49</v>
      </c>
      <c r="D54" s="13">
        <v>6151</v>
      </c>
      <c r="E54" s="6">
        <v>2</v>
      </c>
      <c r="F54" s="7">
        <v>44.773869346733669</v>
      </c>
      <c r="G54" s="7">
        <v>97.9</v>
      </c>
      <c r="H54" s="9">
        <v>58.730000000000004</v>
      </c>
      <c r="I54" s="7">
        <v>82.983135252512625</v>
      </c>
      <c r="J54" s="7">
        <v>1.78</v>
      </c>
      <c r="K54" s="9">
        <v>1</v>
      </c>
      <c r="L54" s="7">
        <v>10.592031425364759</v>
      </c>
      <c r="M54" s="11">
        <v>5.2154836134015232</v>
      </c>
      <c r="N54" s="7">
        <v>51.581469419354825</v>
      </c>
      <c r="O54" s="9">
        <v>141.01617588840736</v>
      </c>
      <c r="P54" s="7">
        <v>50.713010321948921</v>
      </c>
      <c r="Q54" s="9">
        <v>99.05</v>
      </c>
      <c r="R54" s="9">
        <v>175.62</v>
      </c>
      <c r="S54" s="9">
        <v>55</v>
      </c>
      <c r="T54" s="6">
        <f t="shared" si="2"/>
        <v>18</v>
      </c>
      <c r="U54" s="6">
        <v>41</v>
      </c>
      <c r="V54" s="6">
        <f t="shared" si="3"/>
        <v>31</v>
      </c>
    </row>
    <row r="55" spans="1:22" ht="15">
      <c r="A55" s="3">
        <v>3142</v>
      </c>
      <c r="B55" s="14">
        <v>7390</v>
      </c>
      <c r="C55" s="6" t="s">
        <v>50</v>
      </c>
      <c r="D55" s="13">
        <v>6155</v>
      </c>
      <c r="E55" s="6">
        <v>2</v>
      </c>
      <c r="F55" s="7">
        <v>45.882352941176471</v>
      </c>
      <c r="G55" s="7">
        <v>98</v>
      </c>
      <c r="H55" s="9">
        <v>61.739999999999995</v>
      </c>
      <c r="I55" s="7">
        <v>82.246923102570335</v>
      </c>
      <c r="J55" s="7">
        <v>1.94</v>
      </c>
      <c r="K55" s="9">
        <v>1</v>
      </c>
      <c r="L55" s="7">
        <v>10.730211817168339</v>
      </c>
      <c r="M55" s="11">
        <v>5.1659760091790972</v>
      </c>
      <c r="N55" s="7">
        <v>48.614686625766879</v>
      </c>
      <c r="O55" s="9">
        <v>159.32342071447317</v>
      </c>
      <c r="P55" s="7">
        <v>61.426018001147277</v>
      </c>
      <c r="Q55" s="9">
        <v>72.45</v>
      </c>
      <c r="R55" s="9">
        <v>182.55</v>
      </c>
      <c r="S55" s="9">
        <v>58</v>
      </c>
      <c r="T55" s="6">
        <f t="shared" si="2"/>
        <v>9</v>
      </c>
      <c r="U55" s="6">
        <v>37</v>
      </c>
      <c r="V55" s="6">
        <f t="shared" si="3"/>
        <v>75</v>
      </c>
    </row>
    <row r="56" spans="1:22" ht="15">
      <c r="A56" s="3">
        <v>3143</v>
      </c>
      <c r="B56" s="14">
        <v>7311</v>
      </c>
      <c r="C56" s="6" t="s">
        <v>51</v>
      </c>
      <c r="D56" s="13">
        <v>6157</v>
      </c>
      <c r="E56" s="6">
        <v>2</v>
      </c>
      <c r="F56" s="7">
        <v>43.102625298329357</v>
      </c>
      <c r="G56" s="7">
        <v>98</v>
      </c>
      <c r="H56" s="9">
        <v>54.25</v>
      </c>
      <c r="I56" s="7">
        <v>82.210917923238995</v>
      </c>
      <c r="J56" s="7">
        <v>1.26</v>
      </c>
      <c r="K56" s="9">
        <v>1</v>
      </c>
      <c r="L56" s="7">
        <v>11.351052048726467</v>
      </c>
      <c r="M56" s="11">
        <v>4.9774643588137</v>
      </c>
      <c r="N56" s="7">
        <v>46.219829042424237</v>
      </c>
      <c r="O56" s="9">
        <v>162.29655585316232</v>
      </c>
      <c r="P56" s="7">
        <v>45.406238134420427</v>
      </c>
      <c r="Q56" s="9">
        <v>212.34</v>
      </c>
      <c r="R56" s="9">
        <v>158.22999999999999</v>
      </c>
      <c r="S56" s="9">
        <v>55</v>
      </c>
      <c r="T56" s="6">
        <f t="shared" si="2"/>
        <v>18</v>
      </c>
      <c r="U56" s="6">
        <v>34</v>
      </c>
      <c r="V56" s="6">
        <f t="shared" si="3"/>
        <v>96</v>
      </c>
    </row>
    <row r="57" spans="1:22" ht="15">
      <c r="A57" s="3">
        <v>3144</v>
      </c>
      <c r="B57" s="14">
        <v>7105</v>
      </c>
      <c r="C57" s="6" t="s">
        <v>52</v>
      </c>
      <c r="D57" s="13">
        <v>6161</v>
      </c>
      <c r="E57" s="6">
        <v>2</v>
      </c>
      <c r="F57" s="7">
        <v>44.827586206896555</v>
      </c>
      <c r="G57" s="7">
        <v>96.8</v>
      </c>
      <c r="H57" s="9">
        <v>53.959999999999994</v>
      </c>
      <c r="I57" s="7">
        <v>82.896428864401855</v>
      </c>
      <c r="J57" s="7">
        <v>2.12</v>
      </c>
      <c r="K57" s="9">
        <v>2</v>
      </c>
      <c r="L57" s="7">
        <v>10.233516483516484</v>
      </c>
      <c r="M57" s="11">
        <v>5.0991075904493801</v>
      </c>
      <c r="N57" s="7">
        <v>53.964734786206904</v>
      </c>
      <c r="O57" s="9">
        <v>125.10158414820248</v>
      </c>
      <c r="P57" s="7">
        <v>45.323918769654348</v>
      </c>
      <c r="Q57" s="9">
        <v>129.13</v>
      </c>
      <c r="R57" s="9">
        <v>173.75</v>
      </c>
      <c r="S57" s="9">
        <v>47</v>
      </c>
      <c r="T57" s="6">
        <f t="shared" si="2"/>
        <v>62</v>
      </c>
      <c r="U57" s="6">
        <v>41</v>
      </c>
      <c r="V57" s="6">
        <f t="shared" si="3"/>
        <v>31</v>
      </c>
    </row>
    <row r="58" spans="1:22" ht="15">
      <c r="A58" s="3">
        <v>3145</v>
      </c>
      <c r="B58" s="14">
        <v>7116</v>
      </c>
      <c r="C58" s="6" t="s">
        <v>53</v>
      </c>
      <c r="D58" s="13">
        <v>6163</v>
      </c>
      <c r="E58" s="6">
        <v>2</v>
      </c>
      <c r="F58" s="7">
        <v>44.058679706601467</v>
      </c>
      <c r="G58" s="7">
        <v>97.4</v>
      </c>
      <c r="H58" s="9">
        <v>56.430000000000007</v>
      </c>
      <c r="I58" s="7">
        <v>82.74459852064264</v>
      </c>
      <c r="J58" s="7">
        <v>1.51</v>
      </c>
      <c r="K58" s="9">
        <v>1</v>
      </c>
      <c r="L58" s="7">
        <v>9.5033296337402895</v>
      </c>
      <c r="M58" s="11">
        <v>4.6276205400896675</v>
      </c>
      <c r="N58" s="7">
        <v>48.974906041379313</v>
      </c>
      <c r="O58" s="9">
        <v>119.8426654936297</v>
      </c>
      <c r="P58" s="7">
        <v>43.006282614059643</v>
      </c>
      <c r="Q58" s="9">
        <v>82.52</v>
      </c>
      <c r="R58" s="9">
        <v>143.69999999999999</v>
      </c>
      <c r="S58" s="9">
        <v>45</v>
      </c>
      <c r="T58" s="6">
        <f t="shared" si="2"/>
        <v>77</v>
      </c>
      <c r="U58" s="6">
        <v>43</v>
      </c>
      <c r="V58" s="6">
        <f t="shared" si="3"/>
        <v>19</v>
      </c>
    </row>
    <row r="59" spans="1:22" ht="15">
      <c r="A59" s="3">
        <v>3146</v>
      </c>
      <c r="B59" s="14">
        <v>7139</v>
      </c>
      <c r="C59" s="6" t="s">
        <v>54</v>
      </c>
      <c r="D59" s="13">
        <v>6165</v>
      </c>
      <c r="E59" s="6">
        <v>2</v>
      </c>
      <c r="F59" s="7">
        <v>39.737417943107218</v>
      </c>
      <c r="G59" s="7">
        <v>95.6</v>
      </c>
      <c r="H59" s="9">
        <v>59.019999999999996</v>
      </c>
      <c r="I59" s="7">
        <v>81.800352149467599</v>
      </c>
      <c r="J59" s="7">
        <v>1.56</v>
      </c>
      <c r="K59" s="9">
        <v>1</v>
      </c>
      <c r="L59" s="7">
        <v>9.7053964757709252</v>
      </c>
      <c r="M59" s="11">
        <v>4.6038506561133108</v>
      </c>
      <c r="N59" s="7">
        <v>49.809773521126765</v>
      </c>
      <c r="O59" s="9">
        <v>130.2938129369746</v>
      </c>
      <c r="P59" s="7">
        <v>49.461547062447508</v>
      </c>
      <c r="Q59" s="9">
        <v>62.57</v>
      </c>
      <c r="R59" s="9">
        <v>141.35</v>
      </c>
      <c r="S59" s="9">
        <v>45</v>
      </c>
      <c r="T59" s="6">
        <f t="shared" si="2"/>
        <v>77</v>
      </c>
      <c r="U59" s="6">
        <v>37</v>
      </c>
      <c r="V59" s="6">
        <f t="shared" si="3"/>
        <v>75</v>
      </c>
    </row>
    <row r="60" spans="1:22" ht="15">
      <c r="A60" s="3">
        <v>3147</v>
      </c>
      <c r="B60" s="14">
        <v>7233</v>
      </c>
      <c r="C60" s="6" t="s">
        <v>55</v>
      </c>
      <c r="D60" s="13">
        <v>6166</v>
      </c>
      <c r="E60" s="6">
        <v>2</v>
      </c>
      <c r="F60" s="7">
        <v>44.213075060532688</v>
      </c>
      <c r="G60" s="7">
        <v>98</v>
      </c>
      <c r="H60" s="9">
        <v>57.370000000000005</v>
      </c>
      <c r="I60" s="7">
        <v>82.495432037023107</v>
      </c>
      <c r="J60" s="7">
        <v>1.42</v>
      </c>
      <c r="K60" s="9">
        <v>1</v>
      </c>
      <c r="L60" s="7">
        <v>10.131434830230011</v>
      </c>
      <c r="M60" s="11">
        <v>4.6339015034453954</v>
      </c>
      <c r="N60" s="7">
        <v>47.982171459459458</v>
      </c>
      <c r="O60" s="9">
        <v>130.86886825423559</v>
      </c>
      <c r="P60" s="7">
        <v>39.747634172382845</v>
      </c>
      <c r="Q60" s="9">
        <v>207.56</v>
      </c>
      <c r="R60" s="9">
        <v>141.65</v>
      </c>
      <c r="S60" s="9">
        <v>37</v>
      </c>
      <c r="T60" s="6">
        <f t="shared" si="2"/>
        <v>111</v>
      </c>
      <c r="U60" s="6">
        <v>38</v>
      </c>
      <c r="V60" s="6">
        <f t="shared" si="3"/>
        <v>67</v>
      </c>
    </row>
    <row r="61" spans="1:22" ht="15">
      <c r="A61" s="3">
        <v>3148</v>
      </c>
      <c r="B61" s="14">
        <v>7106</v>
      </c>
      <c r="C61" s="6" t="s">
        <v>56</v>
      </c>
      <c r="D61" s="13">
        <v>6168</v>
      </c>
      <c r="E61" s="6">
        <v>2</v>
      </c>
      <c r="F61" s="7">
        <v>42.750582750582751</v>
      </c>
      <c r="G61" s="7">
        <v>97.3</v>
      </c>
      <c r="H61" s="9">
        <v>63.239999999999995</v>
      </c>
      <c r="I61" s="7">
        <v>82.666213915669033</v>
      </c>
      <c r="J61" s="7">
        <v>1.45</v>
      </c>
      <c r="K61" s="9">
        <v>2</v>
      </c>
      <c r="L61" s="7">
        <v>9.5419847328244281</v>
      </c>
      <c r="M61" s="11">
        <v>4.3297637284595307</v>
      </c>
      <c r="N61" s="7">
        <v>47.043957673758868</v>
      </c>
      <c r="O61" s="9">
        <v>111.59801783351519</v>
      </c>
      <c r="P61" s="7">
        <v>50.121944840162762</v>
      </c>
      <c r="Q61" s="9">
        <v>229.44</v>
      </c>
      <c r="R61" s="9">
        <v>126.32</v>
      </c>
      <c r="S61" s="9">
        <v>40</v>
      </c>
      <c r="T61" s="6">
        <f t="shared" si="2"/>
        <v>101</v>
      </c>
      <c r="U61" s="6">
        <v>40</v>
      </c>
      <c r="V61" s="6">
        <f t="shared" si="3"/>
        <v>45</v>
      </c>
    </row>
    <row r="62" spans="1:22" ht="15">
      <c r="A62" s="3">
        <v>3150</v>
      </c>
      <c r="B62" s="14">
        <v>7437</v>
      </c>
      <c r="C62" s="6" t="s">
        <v>57</v>
      </c>
      <c r="D62" s="13">
        <v>6173</v>
      </c>
      <c r="E62" s="6">
        <v>2</v>
      </c>
      <c r="F62" s="7">
        <v>42.616822429906541</v>
      </c>
      <c r="G62" s="7">
        <v>96.4</v>
      </c>
      <c r="H62" s="9">
        <v>58.959999999999994</v>
      </c>
      <c r="I62" s="7">
        <v>82.440821946564881</v>
      </c>
      <c r="J62" s="7">
        <v>1.5699999999999998</v>
      </c>
      <c r="K62" s="9">
        <v>1</v>
      </c>
      <c r="L62" s="7">
        <v>10.690789473684211</v>
      </c>
      <c r="M62" s="11">
        <v>5.2176550931224641</v>
      </c>
      <c r="N62" s="7">
        <v>50.781653772151905</v>
      </c>
      <c r="O62" s="9">
        <v>141.34797983071786</v>
      </c>
      <c r="P62" s="7">
        <v>54.650824592617852</v>
      </c>
      <c r="Q62" s="9">
        <v>173.29</v>
      </c>
      <c r="R62" s="9">
        <v>183.76</v>
      </c>
      <c r="S62" s="9">
        <v>51</v>
      </c>
      <c r="T62" s="6">
        <f t="shared" si="2"/>
        <v>35</v>
      </c>
      <c r="U62" s="6">
        <v>30</v>
      </c>
      <c r="V62" s="6">
        <f t="shared" si="3"/>
        <v>111</v>
      </c>
    </row>
    <row r="63" spans="1:22" ht="15">
      <c r="A63" s="3">
        <v>3151</v>
      </c>
      <c r="B63" s="14">
        <v>7159</v>
      </c>
      <c r="C63" s="6" t="s">
        <v>58</v>
      </c>
      <c r="D63" s="13">
        <v>6174</v>
      </c>
      <c r="E63" s="6">
        <v>2</v>
      </c>
      <c r="F63" s="7">
        <v>41.797235023041473</v>
      </c>
      <c r="G63" s="7">
        <v>97.4</v>
      </c>
      <c r="H63" s="9">
        <v>56.150000000000006</v>
      </c>
      <c r="I63" s="7">
        <v>80.914848968830782</v>
      </c>
      <c r="J63" s="7">
        <v>1.44</v>
      </c>
      <c r="K63" s="9">
        <v>1</v>
      </c>
      <c r="L63" s="7">
        <v>10.0606394707828</v>
      </c>
      <c r="M63" s="11">
        <v>4.9556731008717314</v>
      </c>
      <c r="N63" s="7">
        <v>50.599063311258284</v>
      </c>
      <c r="O63" s="9">
        <v>118.03840234134786</v>
      </c>
      <c r="P63" s="7">
        <v>49.382975323092346</v>
      </c>
      <c r="Q63" s="9">
        <v>146.97999999999999</v>
      </c>
      <c r="R63" s="9">
        <v>165.63</v>
      </c>
      <c r="S63" s="9">
        <v>41</v>
      </c>
      <c r="T63" s="6">
        <f t="shared" si="2"/>
        <v>97</v>
      </c>
      <c r="U63" s="6">
        <v>39</v>
      </c>
      <c r="V63" s="6">
        <f t="shared" si="3"/>
        <v>60</v>
      </c>
    </row>
    <row r="64" spans="1:22" ht="15">
      <c r="A64" s="3">
        <v>3152</v>
      </c>
      <c r="B64" s="14">
        <v>7022</v>
      </c>
      <c r="C64" s="6" t="s">
        <v>59</v>
      </c>
      <c r="D64" s="13">
        <v>6177</v>
      </c>
      <c r="E64" s="6">
        <v>2</v>
      </c>
      <c r="F64" s="7">
        <v>42.295081967213115</v>
      </c>
      <c r="G64" s="7">
        <v>96.9</v>
      </c>
      <c r="H64" s="9">
        <v>57.040000000000006</v>
      </c>
      <c r="I64" s="7">
        <v>81.753250681640779</v>
      </c>
      <c r="J64" s="7">
        <v>1.76</v>
      </c>
      <c r="K64" s="9">
        <v>2</v>
      </c>
      <c r="L64" s="7">
        <v>10.589700996677742</v>
      </c>
      <c r="M64" s="11">
        <v>4.5917471586178191</v>
      </c>
      <c r="N64" s="7">
        <v>45.248724820512827</v>
      </c>
      <c r="O64" s="9">
        <v>112.39650536047651</v>
      </c>
      <c r="P64" s="7">
        <v>52.76167538986693</v>
      </c>
      <c r="Q64" s="9" t="s">
        <v>172</v>
      </c>
      <c r="R64" s="9">
        <v>144.53</v>
      </c>
      <c r="S64" s="9">
        <v>45</v>
      </c>
      <c r="T64" s="6">
        <f t="shared" si="2"/>
        <v>77</v>
      </c>
      <c r="U64" s="6">
        <v>39</v>
      </c>
      <c r="V64" s="6">
        <f t="shared" si="3"/>
        <v>60</v>
      </c>
    </row>
    <row r="65" spans="1:22" ht="15">
      <c r="A65" s="3">
        <v>3153</v>
      </c>
      <c r="B65" s="14">
        <v>7471</v>
      </c>
      <c r="C65" s="6" t="s">
        <v>60</v>
      </c>
      <c r="D65" s="13">
        <v>6178</v>
      </c>
      <c r="E65" s="6">
        <v>2</v>
      </c>
      <c r="F65" s="7">
        <v>44.504950495049506</v>
      </c>
      <c r="G65" s="7">
        <v>98.3</v>
      </c>
      <c r="H65" s="9">
        <v>62.400000000000006</v>
      </c>
      <c r="I65" s="7">
        <v>82.413719172351861</v>
      </c>
      <c r="J65" s="7">
        <v>1.52</v>
      </c>
      <c r="K65" s="9">
        <v>1</v>
      </c>
      <c r="L65" s="7">
        <v>10.49777530589544</v>
      </c>
      <c r="M65" s="11">
        <v>4.6616836303011358</v>
      </c>
      <c r="N65" s="7">
        <v>45.304483848101263</v>
      </c>
      <c r="O65" s="9">
        <v>142.4329887458529</v>
      </c>
      <c r="P65" s="7">
        <v>47.004427221965273</v>
      </c>
      <c r="Q65" s="9" t="s">
        <v>173</v>
      </c>
      <c r="R65" s="9">
        <v>142.29</v>
      </c>
      <c r="S65" s="9">
        <v>46</v>
      </c>
      <c r="T65" s="6">
        <f t="shared" si="2"/>
        <v>72</v>
      </c>
      <c r="U65" s="6">
        <v>38</v>
      </c>
      <c r="V65" s="6">
        <f t="shared" si="3"/>
        <v>67</v>
      </c>
    </row>
    <row r="66" spans="1:22" ht="15">
      <c r="A66" s="3">
        <v>3154</v>
      </c>
      <c r="B66" s="14">
        <v>7097</v>
      </c>
      <c r="C66" s="6" t="s">
        <v>61</v>
      </c>
      <c r="D66" s="13">
        <v>6181</v>
      </c>
      <c r="E66" s="6">
        <v>2</v>
      </c>
      <c r="F66" s="7">
        <v>44.187192118226598</v>
      </c>
      <c r="G66" s="7">
        <v>97.8</v>
      </c>
      <c r="H66" s="9">
        <v>58.64</v>
      </c>
      <c r="I66" s="7">
        <v>83.167767568801338</v>
      </c>
      <c r="J66" s="7">
        <v>1.6600000000000001</v>
      </c>
      <c r="K66" s="9">
        <v>2</v>
      </c>
      <c r="L66" s="7">
        <v>10.172798216276476</v>
      </c>
      <c r="M66" s="11">
        <v>4.8768150884495327</v>
      </c>
      <c r="N66" s="7">
        <v>49.010397908496735</v>
      </c>
      <c r="O66" s="9">
        <v>126.23769288207403</v>
      </c>
      <c r="P66" s="7">
        <v>44.59610962779616</v>
      </c>
      <c r="Q66" s="9">
        <v>69.63</v>
      </c>
      <c r="R66" s="9">
        <v>153.29</v>
      </c>
      <c r="S66" s="9">
        <v>51</v>
      </c>
      <c r="T66" s="6">
        <f t="shared" si="2"/>
        <v>35</v>
      </c>
      <c r="U66" s="6">
        <v>45</v>
      </c>
      <c r="V66" s="6">
        <f t="shared" si="3"/>
        <v>10</v>
      </c>
    </row>
    <row r="67" spans="1:22" ht="15">
      <c r="A67" s="3">
        <v>3155</v>
      </c>
      <c r="B67" s="14">
        <v>7479</v>
      </c>
      <c r="C67" s="6" t="s">
        <v>62</v>
      </c>
      <c r="D67" s="13">
        <v>6184</v>
      </c>
      <c r="E67" s="6">
        <v>2</v>
      </c>
      <c r="F67" s="7">
        <v>48.432432432432435</v>
      </c>
      <c r="G67" s="7">
        <v>98.6</v>
      </c>
      <c r="H67" s="9">
        <v>60.97</v>
      </c>
      <c r="I67" s="7">
        <v>82.35608048377857</v>
      </c>
      <c r="J67" s="7">
        <v>1.8599999999999999</v>
      </c>
      <c r="K67" s="9">
        <v>2</v>
      </c>
      <c r="L67" s="7">
        <v>10.811941964285715</v>
      </c>
      <c r="M67" s="11">
        <v>4.7972703634280958</v>
      </c>
      <c r="N67" s="7">
        <v>47.554257858064517</v>
      </c>
      <c r="O67" s="9">
        <v>119.7520837505172</v>
      </c>
      <c r="P67" s="7">
        <v>48.003793922572868</v>
      </c>
      <c r="Q67" s="9">
        <v>232.46</v>
      </c>
      <c r="R67" s="9">
        <v>157.38</v>
      </c>
      <c r="S67" s="9">
        <v>37</v>
      </c>
      <c r="T67" s="6">
        <f t="shared" si="2"/>
        <v>111</v>
      </c>
      <c r="U67" s="6">
        <v>36</v>
      </c>
      <c r="V67" s="6">
        <f t="shared" si="3"/>
        <v>84</v>
      </c>
    </row>
    <row r="68" spans="1:22" ht="15">
      <c r="A68" s="3">
        <v>3156</v>
      </c>
      <c r="B68" s="14">
        <v>7324</v>
      </c>
      <c r="C68" s="6" t="s">
        <v>63</v>
      </c>
      <c r="D68" s="13">
        <v>6185</v>
      </c>
      <c r="E68" s="6">
        <v>2</v>
      </c>
      <c r="F68" s="7">
        <v>39.471365638766521</v>
      </c>
      <c r="G68" s="7">
        <v>96.1</v>
      </c>
      <c r="H68" s="9">
        <v>58.069999999999993</v>
      </c>
      <c r="I68" s="7">
        <v>82.25907754313333</v>
      </c>
      <c r="J68" s="7">
        <v>1.8900000000000001</v>
      </c>
      <c r="K68" s="9">
        <v>2</v>
      </c>
      <c r="L68" s="7">
        <v>10.184151785714286</v>
      </c>
      <c r="M68" s="11">
        <v>4.3317855280992603</v>
      </c>
      <c r="N68" s="7">
        <v>43.164836363636368</v>
      </c>
      <c r="O68" s="9">
        <v>128.61133791761981</v>
      </c>
      <c r="P68" s="7">
        <v>43.839605739160106</v>
      </c>
      <c r="Q68" s="9">
        <v>216.59</v>
      </c>
      <c r="R68" s="9">
        <v>120.39</v>
      </c>
      <c r="S68" s="9">
        <v>42</v>
      </c>
      <c r="T68" s="6">
        <f t="shared" si="2"/>
        <v>95</v>
      </c>
      <c r="U68" s="6">
        <v>38</v>
      </c>
      <c r="V68" s="6">
        <f t="shared" si="3"/>
        <v>67</v>
      </c>
    </row>
    <row r="69" spans="1:22" ht="15">
      <c r="A69" s="3">
        <v>3157</v>
      </c>
      <c r="B69" s="14">
        <v>7084</v>
      </c>
      <c r="C69" s="6" t="s">
        <v>64</v>
      </c>
      <c r="D69" s="13">
        <v>6187</v>
      </c>
      <c r="E69" s="6">
        <v>2</v>
      </c>
      <c r="F69" s="7">
        <v>46.736292428198432</v>
      </c>
      <c r="G69" s="7">
        <v>98.3</v>
      </c>
      <c r="H69" s="9">
        <v>55.91</v>
      </c>
      <c r="I69" s="7">
        <v>80.88508910674544</v>
      </c>
      <c r="J69" s="7">
        <v>1.98</v>
      </c>
      <c r="K69" s="9">
        <v>2</v>
      </c>
      <c r="L69" s="7">
        <v>10.893854748603353</v>
      </c>
      <c r="M69" s="11">
        <v>4.9901302030192607</v>
      </c>
      <c r="N69" s="7">
        <v>48.231648402515724</v>
      </c>
      <c r="O69" s="9">
        <v>128.15298031676224</v>
      </c>
      <c r="P69" s="7">
        <v>51.888310748505717</v>
      </c>
      <c r="Q69" s="9">
        <v>178</v>
      </c>
      <c r="R69" s="9">
        <v>160.36000000000001</v>
      </c>
      <c r="S69" s="9">
        <v>44</v>
      </c>
      <c r="T69" s="6">
        <f t="shared" si="2"/>
        <v>82</v>
      </c>
      <c r="U69" s="6">
        <v>28</v>
      </c>
      <c r="V69" s="6">
        <f t="shared" si="3"/>
        <v>114</v>
      </c>
    </row>
    <row r="70" spans="1:22" ht="15">
      <c r="A70" s="3">
        <v>3158</v>
      </c>
      <c r="B70" s="14">
        <v>7236</v>
      </c>
      <c r="C70" s="6" t="s">
        <v>65</v>
      </c>
      <c r="D70" s="13">
        <v>6188</v>
      </c>
      <c r="E70" s="6">
        <v>2</v>
      </c>
      <c r="F70" s="7">
        <v>45.979381443298969</v>
      </c>
      <c r="G70" s="7">
        <v>98.4</v>
      </c>
      <c r="H70" s="9">
        <v>59.22</v>
      </c>
      <c r="I70" s="7">
        <v>83.11036332021304</v>
      </c>
      <c r="J70" s="7">
        <v>1.6</v>
      </c>
      <c r="K70" s="9">
        <v>1</v>
      </c>
      <c r="L70" s="7">
        <v>10.299887892376681</v>
      </c>
      <c r="M70" s="11">
        <v>4.7740447571398796</v>
      </c>
      <c r="N70" s="7">
        <v>51.247200447552451</v>
      </c>
      <c r="O70" s="9">
        <v>138.38135644297626</v>
      </c>
      <c r="P70" s="7">
        <v>45.572916959710959</v>
      </c>
      <c r="Q70" s="9">
        <v>118.91</v>
      </c>
      <c r="R70" s="9">
        <v>154.09</v>
      </c>
      <c r="S70" s="9">
        <v>44</v>
      </c>
      <c r="T70" s="6">
        <f t="shared" ref="T70:T101" si="4">RANK(S70,$S$6:$S$125)</f>
        <v>82</v>
      </c>
      <c r="U70" s="6">
        <v>42</v>
      </c>
      <c r="V70" s="6">
        <f t="shared" ref="V70:V101" si="5">RANK(U70,$U$6:$U$125)</f>
        <v>25</v>
      </c>
    </row>
    <row r="71" spans="1:22" ht="15">
      <c r="A71" s="3">
        <v>3159</v>
      </c>
      <c r="B71" s="14">
        <v>7386</v>
      </c>
      <c r="C71" s="6" t="s">
        <v>66</v>
      </c>
      <c r="D71" s="13">
        <v>6191</v>
      </c>
      <c r="E71" s="6">
        <v>2</v>
      </c>
      <c r="F71" s="7">
        <v>45.78005115089514</v>
      </c>
      <c r="G71" s="7">
        <v>98.9</v>
      </c>
      <c r="H71" s="9">
        <v>64.349999999999994</v>
      </c>
      <c r="I71" s="7">
        <v>82.177689421129386</v>
      </c>
      <c r="J71" s="7">
        <v>1.44</v>
      </c>
      <c r="K71" s="9">
        <v>2</v>
      </c>
      <c r="L71" s="7">
        <v>10.614525139664805</v>
      </c>
      <c r="M71" s="11">
        <v>4.9332147549530765</v>
      </c>
      <c r="N71" s="7">
        <v>48.21353324840765</v>
      </c>
      <c r="O71" s="9">
        <v>138.93493753208878</v>
      </c>
      <c r="P71" s="7">
        <v>55.407095011913746</v>
      </c>
      <c r="Q71" s="9">
        <v>212.87</v>
      </c>
      <c r="R71" s="9">
        <v>160.47</v>
      </c>
      <c r="S71" s="9">
        <v>47</v>
      </c>
      <c r="T71" s="6">
        <f t="shared" si="4"/>
        <v>62</v>
      </c>
      <c r="U71" s="6">
        <v>33</v>
      </c>
      <c r="V71" s="6">
        <f t="shared" si="5"/>
        <v>101</v>
      </c>
    </row>
    <row r="72" spans="1:22" ht="15">
      <c r="A72" s="3">
        <v>3160</v>
      </c>
      <c r="B72" s="14">
        <v>7412</v>
      </c>
      <c r="C72" s="6" t="s">
        <v>67</v>
      </c>
      <c r="D72" s="13">
        <v>6192</v>
      </c>
      <c r="E72" s="6">
        <v>2</v>
      </c>
      <c r="F72" s="7">
        <v>44.029484029484031</v>
      </c>
      <c r="G72" s="7">
        <v>98.7</v>
      </c>
      <c r="H72" s="9">
        <v>57.599999999999994</v>
      </c>
      <c r="I72" s="7">
        <v>82.44824863014874</v>
      </c>
      <c r="J72" s="7" t="s">
        <v>166</v>
      </c>
      <c r="K72" s="9">
        <v>3</v>
      </c>
      <c r="L72" s="7">
        <v>10.06</v>
      </c>
      <c r="M72" s="11">
        <v>4.5010084924360996</v>
      </c>
      <c r="N72" s="7">
        <v>46.640179891891904</v>
      </c>
      <c r="O72" s="9">
        <v>121.98017475892237</v>
      </c>
      <c r="P72" s="7">
        <v>43.959692613406311</v>
      </c>
      <c r="Q72" s="9">
        <v>300.07</v>
      </c>
      <c r="R72" s="9">
        <v>132.74</v>
      </c>
      <c r="S72" s="9">
        <v>44</v>
      </c>
      <c r="T72" s="6">
        <f t="shared" si="4"/>
        <v>82</v>
      </c>
      <c r="U72" s="6">
        <v>36</v>
      </c>
      <c r="V72" s="6">
        <f t="shared" si="5"/>
        <v>84</v>
      </c>
    </row>
    <row r="73" spans="1:22" ht="15">
      <c r="A73" s="3">
        <v>3161</v>
      </c>
      <c r="B73" s="14">
        <v>7231</v>
      </c>
      <c r="C73" s="6" t="s">
        <v>68</v>
      </c>
      <c r="D73" s="13">
        <v>6196</v>
      </c>
      <c r="E73" s="6">
        <v>2</v>
      </c>
      <c r="F73" s="7">
        <v>45.765306122448976</v>
      </c>
      <c r="G73" s="7">
        <v>97.3</v>
      </c>
      <c r="H73" s="9">
        <v>61.629999999999995</v>
      </c>
      <c r="I73" s="7">
        <v>82.595208445658912</v>
      </c>
      <c r="J73" s="7">
        <v>1.41</v>
      </c>
      <c r="K73" s="9">
        <v>1</v>
      </c>
      <c r="L73" s="7">
        <v>9.65</v>
      </c>
      <c r="M73" s="11">
        <v>4.7822897769904129</v>
      </c>
      <c r="N73" s="7">
        <v>50.63818228965517</v>
      </c>
      <c r="O73" s="9">
        <v>120.06384029279317</v>
      </c>
      <c r="P73" s="7">
        <v>50.421665872264754</v>
      </c>
      <c r="Q73" s="9">
        <v>83.85</v>
      </c>
      <c r="R73" s="9">
        <v>156.66</v>
      </c>
      <c r="S73" s="9">
        <v>51</v>
      </c>
      <c r="T73" s="6">
        <f t="shared" si="4"/>
        <v>35</v>
      </c>
      <c r="U73" s="6">
        <v>41</v>
      </c>
      <c r="V73" s="6">
        <f t="shared" si="5"/>
        <v>31</v>
      </c>
    </row>
    <row r="74" spans="1:22" ht="15">
      <c r="A74" s="3">
        <v>3162</v>
      </c>
      <c r="B74" s="14">
        <v>7398</v>
      </c>
      <c r="C74" s="6" t="s">
        <v>69</v>
      </c>
      <c r="D74" s="13">
        <v>6199</v>
      </c>
      <c r="E74" s="6">
        <v>2</v>
      </c>
      <c r="F74" s="7">
        <v>45.417721518987342</v>
      </c>
      <c r="G74" s="7">
        <v>98.8</v>
      </c>
      <c r="H74" s="9">
        <v>65.55</v>
      </c>
      <c r="I74" s="7">
        <v>81.863621673077461</v>
      </c>
      <c r="J74" s="7">
        <v>1.62</v>
      </c>
      <c r="K74" s="9">
        <v>2</v>
      </c>
      <c r="L74" s="7">
        <v>10.000000000000002</v>
      </c>
      <c r="M74" s="11">
        <v>4.6199134589361925</v>
      </c>
      <c r="N74" s="7">
        <v>46.719482736842103</v>
      </c>
      <c r="O74" s="9">
        <v>117.32069364276661</v>
      </c>
      <c r="P74" s="7">
        <v>50.47947325171971</v>
      </c>
      <c r="Q74" s="9">
        <v>118.66</v>
      </c>
      <c r="R74" s="9">
        <v>144.84</v>
      </c>
      <c r="S74" s="9">
        <v>48</v>
      </c>
      <c r="T74" s="6">
        <f t="shared" si="4"/>
        <v>52</v>
      </c>
      <c r="U74" s="6">
        <v>43</v>
      </c>
      <c r="V74" s="6">
        <f t="shared" si="5"/>
        <v>19</v>
      </c>
    </row>
    <row r="75" spans="1:22" ht="15">
      <c r="A75" s="3">
        <v>3163</v>
      </c>
      <c r="B75" s="14">
        <v>7253</v>
      </c>
      <c r="C75" s="6" t="s">
        <v>70</v>
      </c>
      <c r="D75" s="13">
        <v>6202</v>
      </c>
      <c r="E75" s="6">
        <v>2</v>
      </c>
      <c r="F75" s="7">
        <v>46.71875</v>
      </c>
      <c r="G75" s="7">
        <v>99.3</v>
      </c>
      <c r="H75" s="9">
        <v>58.84</v>
      </c>
      <c r="I75" s="7">
        <v>82.787365077161937</v>
      </c>
      <c r="J75" s="7">
        <v>1.8199999999999998</v>
      </c>
      <c r="K75" s="9">
        <v>1</v>
      </c>
      <c r="L75" s="7">
        <v>9.8699999999999992</v>
      </c>
      <c r="M75" s="11">
        <v>4.8635397899771258</v>
      </c>
      <c r="N75" s="7">
        <v>53.080880226950356</v>
      </c>
      <c r="O75" s="9">
        <v>118.53916967696102</v>
      </c>
      <c r="P75" s="7">
        <v>52.868389321321246</v>
      </c>
      <c r="Q75" s="9">
        <v>80.42</v>
      </c>
      <c r="R75" s="9">
        <v>156.16</v>
      </c>
      <c r="S75" s="9">
        <v>52</v>
      </c>
      <c r="T75" s="6">
        <f t="shared" si="4"/>
        <v>28</v>
      </c>
      <c r="U75" s="6">
        <v>49</v>
      </c>
      <c r="V75" s="6">
        <f t="shared" si="5"/>
        <v>1</v>
      </c>
    </row>
    <row r="76" spans="1:22" ht="15">
      <c r="A76" s="3">
        <v>3164</v>
      </c>
      <c r="B76" s="14">
        <v>7024</v>
      </c>
      <c r="C76" s="6" t="s">
        <v>71</v>
      </c>
      <c r="D76" s="13">
        <v>6204</v>
      </c>
      <c r="E76" s="6">
        <v>2</v>
      </c>
      <c r="F76" s="7">
        <v>42.093023255813954</v>
      </c>
      <c r="G76" s="7">
        <v>98.1</v>
      </c>
      <c r="H76" s="9">
        <v>59.269999999999996</v>
      </c>
      <c r="I76" s="7">
        <v>82.910585545982045</v>
      </c>
      <c r="J76" s="7">
        <v>1.85</v>
      </c>
      <c r="K76" s="9">
        <v>2</v>
      </c>
      <c r="L76" s="7">
        <v>9.41</v>
      </c>
      <c r="M76" s="11">
        <v>4.5586289062500009</v>
      </c>
      <c r="N76" s="7">
        <v>50.014671428571432</v>
      </c>
      <c r="O76" s="9">
        <v>139.78090472607974</v>
      </c>
      <c r="P76" s="7">
        <v>52.736268839003152</v>
      </c>
      <c r="Q76" s="9">
        <v>62.07</v>
      </c>
      <c r="R76" s="9">
        <v>132.44999999999999</v>
      </c>
      <c r="S76" s="9">
        <v>50</v>
      </c>
      <c r="T76" s="6">
        <f t="shared" si="4"/>
        <v>41</v>
      </c>
      <c r="U76" s="6">
        <v>39</v>
      </c>
      <c r="V76" s="6">
        <f t="shared" si="5"/>
        <v>60</v>
      </c>
    </row>
    <row r="77" spans="1:22" ht="15">
      <c r="A77" s="3">
        <v>3165</v>
      </c>
      <c r="B77" s="14">
        <v>7379</v>
      </c>
      <c r="C77" s="6" t="s">
        <v>72</v>
      </c>
      <c r="D77" s="13">
        <v>6205</v>
      </c>
      <c r="E77" s="6">
        <v>2</v>
      </c>
      <c r="F77" s="7">
        <v>46.909090909090907</v>
      </c>
      <c r="G77" s="7">
        <v>97.4</v>
      </c>
      <c r="H77" s="9">
        <v>68.739999999999995</v>
      </c>
      <c r="I77" s="7">
        <v>82.048942286445481</v>
      </c>
      <c r="J77" s="7">
        <v>1.51</v>
      </c>
      <c r="K77" s="9">
        <v>2</v>
      </c>
      <c r="L77" s="7">
        <v>10.029999999999998</v>
      </c>
      <c r="M77" s="11">
        <v>4.5425224491922878</v>
      </c>
      <c r="N77" s="7">
        <v>46.803224590604032</v>
      </c>
      <c r="O77" s="9">
        <v>131.17600547763095</v>
      </c>
      <c r="P77" s="7">
        <v>47.904996399754538</v>
      </c>
      <c r="Q77" s="9">
        <v>293.45999999999998</v>
      </c>
      <c r="R77" s="9">
        <v>127.64</v>
      </c>
      <c r="S77" s="9">
        <v>45</v>
      </c>
      <c r="T77" s="6">
        <f t="shared" si="4"/>
        <v>77</v>
      </c>
      <c r="U77" s="6">
        <v>34</v>
      </c>
      <c r="V77" s="6">
        <f t="shared" si="5"/>
        <v>96</v>
      </c>
    </row>
    <row r="78" spans="1:22" ht="15">
      <c r="A78" s="3">
        <v>3166</v>
      </c>
      <c r="B78" s="14">
        <v>7488</v>
      </c>
      <c r="C78" s="6" t="s">
        <v>73</v>
      </c>
      <c r="D78" s="13">
        <v>6206</v>
      </c>
      <c r="E78" s="6">
        <v>2</v>
      </c>
      <c r="F78" s="7">
        <v>41.090909090909093</v>
      </c>
      <c r="G78" s="7">
        <v>97.8</v>
      </c>
      <c r="H78" s="9">
        <v>65.260000000000005</v>
      </c>
      <c r="I78" s="7">
        <v>81.934599607966035</v>
      </c>
      <c r="J78" s="7">
        <v>1.5899999999999999</v>
      </c>
      <c r="K78" s="9">
        <v>2</v>
      </c>
      <c r="L78" s="7">
        <v>9.6792035398230087</v>
      </c>
      <c r="M78" s="11">
        <v>4.4898841485034939</v>
      </c>
      <c r="N78" s="7">
        <v>48.85503443971632</v>
      </c>
      <c r="O78" s="9">
        <v>110.42034898333047</v>
      </c>
      <c r="P78" s="7">
        <v>49.39350949789138</v>
      </c>
      <c r="Q78" s="9" t="s">
        <v>172</v>
      </c>
      <c r="R78" s="9">
        <v>131.16</v>
      </c>
      <c r="S78" s="9">
        <v>36</v>
      </c>
      <c r="T78" s="6">
        <f t="shared" si="4"/>
        <v>115</v>
      </c>
      <c r="U78" s="6">
        <v>42</v>
      </c>
      <c r="V78" s="6">
        <f t="shared" si="5"/>
        <v>25</v>
      </c>
    </row>
    <row r="79" spans="1:22" ht="15">
      <c r="A79" s="3">
        <v>3167</v>
      </c>
      <c r="B79" s="14">
        <v>7161</v>
      </c>
      <c r="C79" s="6" t="s">
        <v>74</v>
      </c>
      <c r="D79" s="13">
        <v>6207</v>
      </c>
      <c r="E79" s="6">
        <v>2</v>
      </c>
      <c r="F79" s="7">
        <v>41.556064073226544</v>
      </c>
      <c r="G79" s="7">
        <v>98.8</v>
      </c>
      <c r="H79" s="9">
        <v>57.72</v>
      </c>
      <c r="I79" s="7">
        <v>82.431961479355166</v>
      </c>
      <c r="J79" s="7">
        <v>1.76</v>
      </c>
      <c r="K79" s="9">
        <v>2</v>
      </c>
      <c r="L79" s="7">
        <v>9.67</v>
      </c>
      <c r="M79" s="11">
        <v>4.5711982487230269</v>
      </c>
      <c r="N79" s="7">
        <v>49.410146253521127</v>
      </c>
      <c r="O79" s="9">
        <v>147.64586130265511</v>
      </c>
      <c r="P79" s="7">
        <v>56.431146204046833</v>
      </c>
      <c r="Q79" s="9">
        <v>93.87</v>
      </c>
      <c r="R79" s="9">
        <v>136.75</v>
      </c>
      <c r="S79" s="9">
        <v>49</v>
      </c>
      <c r="T79" s="6">
        <f t="shared" si="4"/>
        <v>47</v>
      </c>
      <c r="U79" s="6">
        <v>38</v>
      </c>
      <c r="V79" s="6">
        <f t="shared" si="5"/>
        <v>67</v>
      </c>
    </row>
    <row r="80" spans="1:22" ht="15">
      <c r="A80" s="3">
        <v>3168</v>
      </c>
      <c r="B80" s="14">
        <v>7444</v>
      </c>
      <c r="C80" s="6" t="s">
        <v>75</v>
      </c>
      <c r="D80" s="13">
        <v>6208</v>
      </c>
      <c r="E80" s="6">
        <v>2</v>
      </c>
      <c r="F80" s="7">
        <v>40.986547085201792</v>
      </c>
      <c r="G80" s="7">
        <v>97.1</v>
      </c>
      <c r="H80" s="9">
        <v>60.67</v>
      </c>
      <c r="I80" s="7">
        <v>83.423961009818612</v>
      </c>
      <c r="J80" s="7">
        <v>1.5</v>
      </c>
      <c r="K80" s="9">
        <v>1</v>
      </c>
      <c r="L80" s="7">
        <v>9.2199999999999989</v>
      </c>
      <c r="M80" s="11">
        <v>4.4695261649119145</v>
      </c>
      <c r="N80" s="7">
        <v>51.971108484848486</v>
      </c>
      <c r="O80" s="9">
        <v>131.73647259900525</v>
      </c>
      <c r="P80" s="7">
        <v>55.679039477931788</v>
      </c>
      <c r="Q80" s="9">
        <v>110.21</v>
      </c>
      <c r="R80" s="9">
        <v>140.77000000000001</v>
      </c>
      <c r="S80" s="9">
        <v>46</v>
      </c>
      <c r="T80" s="6">
        <f t="shared" si="4"/>
        <v>72</v>
      </c>
      <c r="U80" s="6">
        <v>39</v>
      </c>
      <c r="V80" s="6">
        <f t="shared" si="5"/>
        <v>60</v>
      </c>
    </row>
    <row r="81" spans="1:22" ht="15">
      <c r="A81" s="3">
        <v>3169</v>
      </c>
      <c r="B81" s="14">
        <v>7404</v>
      </c>
      <c r="C81" s="6" t="s">
        <v>76</v>
      </c>
      <c r="D81" s="13">
        <v>6209</v>
      </c>
      <c r="E81" s="6">
        <v>2</v>
      </c>
      <c r="F81" s="7">
        <v>47.591623036649217</v>
      </c>
      <c r="G81" s="7">
        <v>98.2</v>
      </c>
      <c r="H81" s="9">
        <v>63.769999999999996</v>
      </c>
      <c r="I81" s="7">
        <v>82.662768117056856</v>
      </c>
      <c r="J81" s="7" t="s">
        <v>166</v>
      </c>
      <c r="K81" s="9">
        <v>3</v>
      </c>
      <c r="L81" s="7">
        <v>9.7899999999999974</v>
      </c>
      <c r="M81" s="11">
        <v>4.5756110889609305</v>
      </c>
      <c r="N81" s="7">
        <v>51.590005647058824</v>
      </c>
      <c r="O81" s="9">
        <v>119.56198900853262</v>
      </c>
      <c r="P81" s="7">
        <v>45.36686140285186</v>
      </c>
      <c r="Q81" s="9" t="s">
        <v>174</v>
      </c>
      <c r="R81" s="9">
        <v>142.09</v>
      </c>
      <c r="S81" s="9">
        <v>36</v>
      </c>
      <c r="T81" s="6">
        <f t="shared" si="4"/>
        <v>115</v>
      </c>
      <c r="U81" s="6">
        <v>34</v>
      </c>
      <c r="V81" s="6">
        <f t="shared" si="5"/>
        <v>96</v>
      </c>
    </row>
    <row r="82" spans="1:22" ht="15">
      <c r="A82" s="3">
        <v>3170</v>
      </c>
      <c r="B82" s="14">
        <v>7052</v>
      </c>
      <c r="C82" s="6" t="s">
        <v>77</v>
      </c>
      <c r="D82" s="13">
        <v>6211</v>
      </c>
      <c r="E82" s="6">
        <v>2</v>
      </c>
      <c r="F82" s="7">
        <v>42.863849765258216</v>
      </c>
      <c r="G82" s="7">
        <v>98.1</v>
      </c>
      <c r="H82" s="9">
        <v>58.81</v>
      </c>
      <c r="I82" s="7">
        <v>83.216344443668348</v>
      </c>
      <c r="J82" s="7">
        <v>1.67</v>
      </c>
      <c r="K82" s="9">
        <v>2</v>
      </c>
      <c r="L82" s="7">
        <v>9.64</v>
      </c>
      <c r="M82" s="11">
        <v>4.8862581258926712</v>
      </c>
      <c r="N82" s="7">
        <v>53.561363428571433</v>
      </c>
      <c r="O82" s="9">
        <v>137.41753328284125</v>
      </c>
      <c r="P82" s="7">
        <v>53.593493860402866</v>
      </c>
      <c r="Q82" s="9">
        <v>131.59</v>
      </c>
      <c r="R82" s="9">
        <v>160.11000000000001</v>
      </c>
      <c r="S82" s="9">
        <v>50</v>
      </c>
      <c r="T82" s="6">
        <f t="shared" si="4"/>
        <v>41</v>
      </c>
      <c r="U82" s="6">
        <v>36</v>
      </c>
      <c r="V82" s="6">
        <f t="shared" si="5"/>
        <v>84</v>
      </c>
    </row>
    <row r="83" spans="1:22" ht="15">
      <c r="A83" s="3">
        <v>3171</v>
      </c>
      <c r="B83" s="14">
        <v>7181</v>
      </c>
      <c r="C83" s="6" t="s">
        <v>78</v>
      </c>
      <c r="D83" s="13">
        <v>6214</v>
      </c>
      <c r="E83" s="6">
        <v>2</v>
      </c>
      <c r="F83" s="7">
        <v>41.541950113378682</v>
      </c>
      <c r="G83" s="7">
        <v>96.3</v>
      </c>
      <c r="H83" s="9">
        <v>57.540000000000006</v>
      </c>
      <c r="I83" s="7">
        <v>81.572080512172661</v>
      </c>
      <c r="J83" s="7">
        <v>1.81</v>
      </c>
      <c r="K83" s="9">
        <v>2</v>
      </c>
      <c r="L83" s="7">
        <v>9.11</v>
      </c>
      <c r="M83" s="11">
        <v>4.2888782962889813</v>
      </c>
      <c r="N83" s="7">
        <v>50.588084307692313</v>
      </c>
      <c r="O83" s="9">
        <v>94.342417671819234</v>
      </c>
      <c r="P83" s="7">
        <v>47.834664402733061</v>
      </c>
      <c r="Q83" s="9" t="s">
        <v>172</v>
      </c>
      <c r="R83" s="9">
        <v>125.41</v>
      </c>
      <c r="S83" s="9">
        <v>32</v>
      </c>
      <c r="T83" s="6">
        <f t="shared" si="4"/>
        <v>119</v>
      </c>
      <c r="U83" s="6">
        <v>32</v>
      </c>
      <c r="V83" s="6">
        <f t="shared" si="5"/>
        <v>106</v>
      </c>
    </row>
    <row r="84" spans="1:22" ht="15">
      <c r="A84" s="3">
        <v>3172</v>
      </c>
      <c r="B84" s="14">
        <v>7373</v>
      </c>
      <c r="C84" s="6" t="s">
        <v>79</v>
      </c>
      <c r="D84" s="13">
        <v>6215</v>
      </c>
      <c r="E84" s="6">
        <v>2</v>
      </c>
      <c r="F84" s="7">
        <v>51.129943502824858</v>
      </c>
      <c r="G84" s="7">
        <v>99.2</v>
      </c>
      <c r="H84" s="9">
        <v>59.180000000000007</v>
      </c>
      <c r="I84" s="7">
        <v>82.664706451458358</v>
      </c>
      <c r="J84" s="7">
        <v>1.78</v>
      </c>
      <c r="K84" s="9">
        <v>2</v>
      </c>
      <c r="L84" s="7">
        <v>10.280000000000001</v>
      </c>
      <c r="M84" s="11">
        <v>4.7217227084480617</v>
      </c>
      <c r="N84" s="7">
        <v>49.177158421768709</v>
      </c>
      <c r="O84" s="9">
        <v>115.91185268017472</v>
      </c>
      <c r="P84" s="7">
        <v>48.208984177072487</v>
      </c>
      <c r="Q84" s="9">
        <v>204.36</v>
      </c>
      <c r="R84" s="9">
        <v>142.34</v>
      </c>
      <c r="S84" s="9">
        <v>37</v>
      </c>
      <c r="T84" s="6">
        <f t="shared" si="4"/>
        <v>111</v>
      </c>
      <c r="U84" s="6">
        <v>37</v>
      </c>
      <c r="V84" s="6">
        <f t="shared" si="5"/>
        <v>75</v>
      </c>
    </row>
    <row r="85" spans="1:22" ht="15">
      <c r="A85" s="3">
        <v>3173</v>
      </c>
      <c r="B85" s="14">
        <v>7392</v>
      </c>
      <c r="C85" s="6" t="s">
        <v>80</v>
      </c>
      <c r="D85" s="13">
        <v>6218</v>
      </c>
      <c r="E85" s="6">
        <v>2</v>
      </c>
      <c r="F85" s="7">
        <v>40.585585585585584</v>
      </c>
      <c r="G85" s="7">
        <v>96.9</v>
      </c>
      <c r="H85" s="9">
        <v>61.019999999999996</v>
      </c>
      <c r="I85" s="7">
        <v>82.865673559825865</v>
      </c>
      <c r="J85" s="7">
        <v>1.74</v>
      </c>
      <c r="K85" s="9">
        <v>2</v>
      </c>
      <c r="L85" s="7">
        <v>10.629999999999997</v>
      </c>
      <c r="M85" s="11">
        <v>4.7607745726310302</v>
      </c>
      <c r="N85" s="7">
        <v>45.536183500000007</v>
      </c>
      <c r="O85" s="9">
        <v>141.98314379431883</v>
      </c>
      <c r="P85" s="7">
        <v>56.979677209171939</v>
      </c>
      <c r="Q85" s="9">
        <v>129.13</v>
      </c>
      <c r="R85" s="9">
        <v>146.38</v>
      </c>
      <c r="S85" s="9">
        <v>50</v>
      </c>
      <c r="T85" s="6">
        <f t="shared" si="4"/>
        <v>41</v>
      </c>
      <c r="U85" s="6">
        <v>31</v>
      </c>
      <c r="V85" s="6">
        <f t="shared" si="5"/>
        <v>109</v>
      </c>
    </row>
    <row r="86" spans="1:22" ht="15">
      <c r="A86" s="3">
        <v>3174</v>
      </c>
      <c r="B86" s="14">
        <v>7111</v>
      </c>
      <c r="C86" s="6" t="s">
        <v>81</v>
      </c>
      <c r="D86" s="13">
        <v>6225</v>
      </c>
      <c r="E86" s="6">
        <v>2</v>
      </c>
      <c r="F86" s="7">
        <v>44.137931034482762</v>
      </c>
      <c r="G86" s="7">
        <v>97.8</v>
      </c>
      <c r="H86" s="9">
        <v>58.650000000000006</v>
      </c>
      <c r="I86" s="7">
        <v>80.82322498516001</v>
      </c>
      <c r="J86" s="7">
        <v>1.8900000000000001</v>
      </c>
      <c r="K86" s="9">
        <v>2</v>
      </c>
      <c r="L86" s="7">
        <v>10.659999999999998</v>
      </c>
      <c r="M86" s="11">
        <v>5.1089182819708006</v>
      </c>
      <c r="N86" s="7">
        <v>49.0828755</v>
      </c>
      <c r="O86" s="9">
        <v>120.69786579982708</v>
      </c>
      <c r="P86" s="7">
        <v>47.179879881266089</v>
      </c>
      <c r="Q86" s="9">
        <v>114.52</v>
      </c>
      <c r="R86" s="9">
        <v>162.16999999999999</v>
      </c>
      <c r="S86" s="9">
        <v>44</v>
      </c>
      <c r="T86" s="6">
        <f t="shared" si="4"/>
        <v>82</v>
      </c>
      <c r="U86" s="6">
        <v>31</v>
      </c>
      <c r="V86" s="6">
        <f t="shared" si="5"/>
        <v>109</v>
      </c>
    </row>
    <row r="87" spans="1:22" ht="15">
      <c r="A87" s="3">
        <v>3175</v>
      </c>
      <c r="B87" s="14">
        <v>7489</v>
      </c>
      <c r="C87" s="6" t="s">
        <v>82</v>
      </c>
      <c r="D87" s="13">
        <v>6228</v>
      </c>
      <c r="E87" s="6">
        <v>2</v>
      </c>
      <c r="F87" s="7">
        <v>46.614583333333336</v>
      </c>
      <c r="G87" s="7">
        <v>98</v>
      </c>
      <c r="H87" s="9">
        <v>65.42</v>
      </c>
      <c r="I87" s="7">
        <v>82.846151747349424</v>
      </c>
      <c r="J87" s="7">
        <v>1.76</v>
      </c>
      <c r="K87" s="9">
        <v>2</v>
      </c>
      <c r="L87" s="7">
        <v>11.15</v>
      </c>
      <c r="M87" s="11">
        <v>5.2198794489820584</v>
      </c>
      <c r="N87" s="7">
        <v>48.837283707317063</v>
      </c>
      <c r="O87" s="9">
        <v>142.83284040887713</v>
      </c>
      <c r="P87" s="7">
        <v>52.854063131035424</v>
      </c>
      <c r="Q87" s="9">
        <v>79.7</v>
      </c>
      <c r="R87" s="9">
        <v>168.73</v>
      </c>
      <c r="S87" s="9">
        <v>59</v>
      </c>
      <c r="T87" s="6">
        <f t="shared" si="4"/>
        <v>7</v>
      </c>
      <c r="U87" s="6">
        <v>40</v>
      </c>
      <c r="V87" s="6">
        <f t="shared" si="5"/>
        <v>45</v>
      </c>
    </row>
    <row r="88" spans="1:22" ht="15">
      <c r="A88" s="3">
        <v>3176</v>
      </c>
      <c r="B88" s="14">
        <v>7486</v>
      </c>
      <c r="C88" s="6" t="s">
        <v>83</v>
      </c>
      <c r="D88" s="13">
        <v>6233</v>
      </c>
      <c r="E88" s="6">
        <v>2</v>
      </c>
      <c r="F88" s="7">
        <v>40.963302752293579</v>
      </c>
      <c r="G88" s="7">
        <v>96.1</v>
      </c>
      <c r="H88" s="9">
        <v>57.19</v>
      </c>
      <c r="I88" s="7">
        <v>82.68542580512451</v>
      </c>
      <c r="J88" s="7">
        <v>1.69</v>
      </c>
      <c r="K88" s="9">
        <v>1</v>
      </c>
      <c r="L88" s="7">
        <v>10.31</v>
      </c>
      <c r="M88" s="11">
        <v>4.7874801421133251</v>
      </c>
      <c r="N88" s="7">
        <v>46.47174956962025</v>
      </c>
      <c r="O88" s="9">
        <v>133.6221579334192</v>
      </c>
      <c r="P88" s="7">
        <v>43.541506247115585</v>
      </c>
      <c r="Q88" s="9">
        <v>60.91</v>
      </c>
      <c r="R88" s="9">
        <v>148.75</v>
      </c>
      <c r="S88" s="9">
        <v>52</v>
      </c>
      <c r="T88" s="6">
        <f t="shared" si="4"/>
        <v>28</v>
      </c>
      <c r="U88" s="6">
        <v>41</v>
      </c>
      <c r="V88" s="6">
        <f t="shared" si="5"/>
        <v>31</v>
      </c>
    </row>
    <row r="89" spans="1:22" ht="15">
      <c r="A89" s="3">
        <v>3177</v>
      </c>
      <c r="B89" s="14">
        <v>7249</v>
      </c>
      <c r="C89" s="6" t="s">
        <v>84</v>
      </c>
      <c r="D89" s="13">
        <v>6235</v>
      </c>
      <c r="E89" s="6">
        <v>2</v>
      </c>
      <c r="F89" s="7">
        <v>45.891472868217058</v>
      </c>
      <c r="G89" s="7">
        <v>97.8</v>
      </c>
      <c r="H89" s="9">
        <v>61.930000000000007</v>
      </c>
      <c r="I89" s="7">
        <v>81.877859474357749</v>
      </c>
      <c r="J89" s="7">
        <v>1.63</v>
      </c>
      <c r="K89" s="9">
        <v>2</v>
      </c>
      <c r="L89" s="7">
        <v>10.459999999999999</v>
      </c>
      <c r="M89" s="11">
        <v>4.5578196393533581</v>
      </c>
      <c r="N89" s="7">
        <v>47.862104328767124</v>
      </c>
      <c r="O89" s="9">
        <v>122.6120807626329</v>
      </c>
      <c r="P89" s="7">
        <v>43.280765456869773</v>
      </c>
      <c r="Q89" s="9">
        <v>166.2</v>
      </c>
      <c r="R89" s="9">
        <v>135.86000000000001</v>
      </c>
      <c r="S89" s="9">
        <v>40</v>
      </c>
      <c r="T89" s="6">
        <f t="shared" si="4"/>
        <v>101</v>
      </c>
      <c r="U89" s="6">
        <v>37</v>
      </c>
      <c r="V89" s="6">
        <f t="shared" si="5"/>
        <v>75</v>
      </c>
    </row>
    <row r="90" spans="1:22" ht="15">
      <c r="A90" s="3">
        <v>3178</v>
      </c>
      <c r="B90" s="14">
        <v>7349</v>
      </c>
      <c r="C90" s="6" t="s">
        <v>85</v>
      </c>
      <c r="D90" s="13">
        <v>6237</v>
      </c>
      <c r="E90" s="6">
        <v>2</v>
      </c>
      <c r="F90" s="7">
        <v>44.472361809045225</v>
      </c>
      <c r="G90" s="7">
        <v>97.7</v>
      </c>
      <c r="H90" s="9">
        <v>60.379999999999995</v>
      </c>
      <c r="I90" s="7">
        <v>81.82615286877477</v>
      </c>
      <c r="J90" s="7">
        <v>1.6099999999999999</v>
      </c>
      <c r="K90" s="9">
        <v>2</v>
      </c>
      <c r="L90" s="7">
        <v>10.44</v>
      </c>
      <c r="M90" s="11">
        <v>4.667769417861269</v>
      </c>
      <c r="N90" s="7">
        <v>46.181344825806448</v>
      </c>
      <c r="O90" s="9">
        <v>132.00329154519898</v>
      </c>
      <c r="P90" s="7">
        <v>43.260053576674906</v>
      </c>
      <c r="Q90" s="9">
        <v>185.64</v>
      </c>
      <c r="R90" s="9">
        <v>135.6</v>
      </c>
      <c r="S90" s="9">
        <v>45</v>
      </c>
      <c r="T90" s="6">
        <f t="shared" si="4"/>
        <v>77</v>
      </c>
      <c r="U90" s="6">
        <v>37</v>
      </c>
      <c r="V90" s="6">
        <f t="shared" si="5"/>
        <v>75</v>
      </c>
    </row>
    <row r="91" spans="1:22" ht="15">
      <c r="A91" s="3">
        <v>3179</v>
      </c>
      <c r="B91" s="14">
        <v>7208</v>
      </c>
      <c r="C91" s="6" t="s">
        <v>86</v>
      </c>
      <c r="D91" s="13">
        <v>6244</v>
      </c>
      <c r="E91" s="6">
        <v>2</v>
      </c>
      <c r="F91" s="7">
        <v>37.383966244725741</v>
      </c>
      <c r="G91" s="7">
        <v>95.1</v>
      </c>
      <c r="H91" s="9">
        <v>63.91</v>
      </c>
      <c r="I91" s="7">
        <v>81.966732308902607</v>
      </c>
      <c r="J91" s="7">
        <v>1.4</v>
      </c>
      <c r="K91" s="9">
        <v>1</v>
      </c>
      <c r="L91" s="7">
        <v>10.369638826185103</v>
      </c>
      <c r="M91" s="11">
        <v>4.2922137716173712</v>
      </c>
      <c r="N91" s="7">
        <v>42.983339607843135</v>
      </c>
      <c r="O91" s="9">
        <v>133.09808171554644</v>
      </c>
      <c r="P91" s="7">
        <v>41.088823710328576</v>
      </c>
      <c r="Q91" s="9">
        <v>94.95</v>
      </c>
      <c r="R91" s="9">
        <v>117.46</v>
      </c>
      <c r="S91" s="9">
        <v>48</v>
      </c>
      <c r="T91" s="6">
        <f t="shared" si="4"/>
        <v>52</v>
      </c>
      <c r="U91" s="6">
        <v>46</v>
      </c>
      <c r="V91" s="6">
        <f t="shared" si="5"/>
        <v>5</v>
      </c>
    </row>
    <row r="92" spans="1:22" ht="15">
      <c r="A92" s="3">
        <v>3181</v>
      </c>
      <c r="B92" s="14">
        <v>7198</v>
      </c>
      <c r="C92" s="6" t="s">
        <v>87</v>
      </c>
      <c r="D92" s="13">
        <v>6245</v>
      </c>
      <c r="E92" s="6">
        <v>2</v>
      </c>
      <c r="F92" s="7">
        <v>42.746987951807228</v>
      </c>
      <c r="G92" s="7">
        <v>96.4</v>
      </c>
      <c r="H92" s="9">
        <v>58.47</v>
      </c>
      <c r="I92" s="7">
        <v>81.739792707220602</v>
      </c>
      <c r="J92" s="7" t="s">
        <v>166</v>
      </c>
      <c r="K92" s="9">
        <v>3</v>
      </c>
      <c r="L92" s="7">
        <v>10.449999999999998</v>
      </c>
      <c r="M92" s="11">
        <v>4.4221485829768428</v>
      </c>
      <c r="N92" s="7">
        <v>46.626751337931033</v>
      </c>
      <c r="O92" s="9">
        <v>92.458199094687387</v>
      </c>
      <c r="P92" s="7">
        <v>30.992510895812913</v>
      </c>
      <c r="Q92" s="9">
        <v>188.2</v>
      </c>
      <c r="R92" s="9">
        <v>139.47999999999999</v>
      </c>
      <c r="S92" s="9">
        <v>33</v>
      </c>
      <c r="T92" s="6">
        <f t="shared" si="4"/>
        <v>118</v>
      </c>
      <c r="U92" s="6">
        <v>40</v>
      </c>
      <c r="V92" s="6">
        <f t="shared" si="5"/>
        <v>45</v>
      </c>
    </row>
    <row r="93" spans="1:22" ht="15">
      <c r="A93" s="3">
        <v>3182</v>
      </c>
      <c r="B93" s="14">
        <v>7035</v>
      </c>
      <c r="C93" s="6" t="s">
        <v>88</v>
      </c>
      <c r="D93" s="13">
        <v>6246</v>
      </c>
      <c r="E93" s="6">
        <v>2</v>
      </c>
      <c r="F93" s="7">
        <v>43.260340632603409</v>
      </c>
      <c r="G93" s="7">
        <v>96.8</v>
      </c>
      <c r="H93" s="9">
        <v>63.370000000000005</v>
      </c>
      <c r="I93" s="7">
        <v>81.362715670017465</v>
      </c>
      <c r="J93" s="7" t="s">
        <v>166</v>
      </c>
      <c r="K93" s="9">
        <v>3</v>
      </c>
      <c r="L93" s="7">
        <v>9.7019122609673776</v>
      </c>
      <c r="M93" s="11">
        <v>4.8871529999582579</v>
      </c>
      <c r="N93" s="7">
        <v>53.181495602836883</v>
      </c>
      <c r="O93" s="9">
        <v>95.296138429584843</v>
      </c>
      <c r="P93" s="7">
        <v>42.929121489623967</v>
      </c>
      <c r="Q93" s="9">
        <v>103.07</v>
      </c>
      <c r="R93" s="9">
        <v>170.49</v>
      </c>
      <c r="S93" s="9">
        <v>39</v>
      </c>
      <c r="T93" s="6">
        <f t="shared" si="4"/>
        <v>108</v>
      </c>
      <c r="U93" s="6">
        <v>33</v>
      </c>
      <c r="V93" s="6">
        <f t="shared" si="5"/>
        <v>101</v>
      </c>
    </row>
    <row r="94" spans="1:22" ht="15">
      <c r="A94" s="3">
        <v>3183</v>
      </c>
      <c r="B94" s="14">
        <v>7411</v>
      </c>
      <c r="C94" s="6" t="s">
        <v>89</v>
      </c>
      <c r="D94" s="13">
        <v>6247</v>
      </c>
      <c r="E94" s="6">
        <v>2</v>
      </c>
      <c r="F94" s="7">
        <v>43.260340632603409</v>
      </c>
      <c r="G94" s="7">
        <v>98.6</v>
      </c>
      <c r="H94" s="9">
        <v>63.84</v>
      </c>
      <c r="I94" s="7">
        <v>82.326370163702137</v>
      </c>
      <c r="J94" s="7">
        <v>1.78</v>
      </c>
      <c r="K94" s="9">
        <v>2</v>
      </c>
      <c r="L94" s="7">
        <v>10.969999999999997</v>
      </c>
      <c r="M94" s="11">
        <v>4.8149814803675888</v>
      </c>
      <c r="N94" s="7">
        <v>48.083158169934642</v>
      </c>
      <c r="O94" s="9">
        <v>125.35197838279737</v>
      </c>
      <c r="P94" s="7">
        <v>54.197328173553892</v>
      </c>
      <c r="Q94" s="9">
        <v>272.67</v>
      </c>
      <c r="R94" s="9">
        <v>162.57</v>
      </c>
      <c r="S94" s="9">
        <v>47</v>
      </c>
      <c r="T94" s="6">
        <f t="shared" si="4"/>
        <v>62</v>
      </c>
      <c r="U94" s="6">
        <v>33</v>
      </c>
      <c r="V94" s="6">
        <f t="shared" si="5"/>
        <v>101</v>
      </c>
    </row>
    <row r="95" spans="1:22" ht="15">
      <c r="A95" s="3">
        <v>3184</v>
      </c>
      <c r="B95" s="14">
        <v>7467</v>
      </c>
      <c r="C95" s="6" t="s">
        <v>90</v>
      </c>
      <c r="D95" s="13">
        <v>6253</v>
      </c>
      <c r="E95" s="6">
        <v>2</v>
      </c>
      <c r="F95" s="7">
        <v>36.016260162601625</v>
      </c>
      <c r="G95" s="7">
        <v>95.5</v>
      </c>
      <c r="H95" s="9">
        <v>59.14</v>
      </c>
      <c r="I95" s="7">
        <v>81.366444206742528</v>
      </c>
      <c r="J95" s="7" t="s">
        <v>166</v>
      </c>
      <c r="K95" s="9">
        <v>3</v>
      </c>
      <c r="L95" s="7">
        <v>8.8882618510158018</v>
      </c>
      <c r="M95" s="11">
        <v>4.0761590388695845</v>
      </c>
      <c r="N95" s="7">
        <v>47.24218581818181</v>
      </c>
      <c r="O95" s="9">
        <v>106.61097370519427</v>
      </c>
      <c r="P95" s="7">
        <v>30.897871562289286</v>
      </c>
      <c r="Q95" s="9">
        <v>108.66</v>
      </c>
      <c r="R95" s="9">
        <v>114.16</v>
      </c>
      <c r="S95" s="9">
        <v>30</v>
      </c>
      <c r="T95" s="6">
        <f t="shared" si="4"/>
        <v>120</v>
      </c>
      <c r="U95" s="6">
        <v>28</v>
      </c>
      <c r="V95" s="6">
        <f t="shared" si="5"/>
        <v>114</v>
      </c>
    </row>
    <row r="96" spans="1:22" ht="15">
      <c r="A96" s="3">
        <v>3185</v>
      </c>
      <c r="B96" s="14">
        <v>7348</v>
      </c>
      <c r="C96" s="6" t="s">
        <v>91</v>
      </c>
      <c r="D96" s="13">
        <v>6255</v>
      </c>
      <c r="E96" s="6">
        <v>2</v>
      </c>
      <c r="F96" s="7">
        <v>45.706940874035993</v>
      </c>
      <c r="G96" s="7">
        <v>98.5</v>
      </c>
      <c r="H96" s="9">
        <v>54.459999999999994</v>
      </c>
      <c r="I96" s="7">
        <v>81.950019476536525</v>
      </c>
      <c r="J96" s="7">
        <v>1.48</v>
      </c>
      <c r="K96" s="9">
        <v>1</v>
      </c>
      <c r="L96" s="7">
        <v>10.070000000000002</v>
      </c>
      <c r="M96" s="11">
        <v>4.6493452424905337</v>
      </c>
      <c r="N96" s="7">
        <v>50.364265078014185</v>
      </c>
      <c r="O96" s="9">
        <v>121.6417951341453</v>
      </c>
      <c r="P96" s="7">
        <v>41.537335940112008</v>
      </c>
      <c r="Q96" s="9">
        <v>72.58</v>
      </c>
      <c r="R96" s="9">
        <v>147.9</v>
      </c>
      <c r="S96" s="9">
        <v>48</v>
      </c>
      <c r="T96" s="6">
        <f t="shared" si="4"/>
        <v>52</v>
      </c>
      <c r="U96" s="6">
        <v>45</v>
      </c>
      <c r="V96" s="6">
        <f t="shared" si="5"/>
        <v>10</v>
      </c>
    </row>
    <row r="97" spans="1:22" ht="15">
      <c r="A97" s="3">
        <v>3186</v>
      </c>
      <c r="B97" s="14">
        <v>7272</v>
      </c>
      <c r="C97" s="6" t="s">
        <v>92</v>
      </c>
      <c r="D97" s="13">
        <v>6257</v>
      </c>
      <c r="E97" s="6">
        <v>2</v>
      </c>
      <c r="F97" s="7">
        <v>42.075471698113205</v>
      </c>
      <c r="G97" s="7">
        <v>98</v>
      </c>
      <c r="H97" s="9">
        <v>64.11</v>
      </c>
      <c r="I97" s="7">
        <v>81.431434598065479</v>
      </c>
      <c r="J97" s="7">
        <v>1.8199999999999998</v>
      </c>
      <c r="K97" s="9">
        <v>2</v>
      </c>
      <c r="L97" s="7">
        <v>10.910000000000002</v>
      </c>
      <c r="M97" s="11">
        <v>4.3950749531967377</v>
      </c>
      <c r="N97" s="7">
        <v>40.878852878048782</v>
      </c>
      <c r="O97" s="9">
        <v>135.66918912760207</v>
      </c>
      <c r="P97" s="7">
        <v>38.850704636154909</v>
      </c>
      <c r="Q97" s="9">
        <v>102.97</v>
      </c>
      <c r="R97" s="9">
        <v>131.04</v>
      </c>
      <c r="S97" s="9">
        <v>44</v>
      </c>
      <c r="T97" s="6">
        <f t="shared" si="4"/>
        <v>82</v>
      </c>
      <c r="U97" s="6">
        <v>39</v>
      </c>
      <c r="V97" s="6">
        <f t="shared" si="5"/>
        <v>60</v>
      </c>
    </row>
    <row r="98" spans="1:22" ht="15">
      <c r="A98" s="3">
        <v>3187</v>
      </c>
      <c r="B98" s="14">
        <v>7502</v>
      </c>
      <c r="C98" s="6" t="s">
        <v>93</v>
      </c>
      <c r="D98" s="13">
        <v>6260</v>
      </c>
      <c r="E98" s="6">
        <v>2</v>
      </c>
      <c r="F98" s="7">
        <v>39.424778761061944</v>
      </c>
      <c r="G98" s="7">
        <v>96.8</v>
      </c>
      <c r="H98" s="9">
        <v>61.599999999999994</v>
      </c>
      <c r="I98" s="7">
        <v>80.981022117781407</v>
      </c>
      <c r="J98" s="7">
        <v>1.98</v>
      </c>
      <c r="K98" s="9">
        <v>2</v>
      </c>
      <c r="L98" s="7">
        <v>10.451739618406286</v>
      </c>
      <c r="M98" s="11">
        <v>4.3830826733634085</v>
      </c>
      <c r="N98" s="7">
        <v>44.788790933333345</v>
      </c>
      <c r="O98" s="9">
        <v>100.78381771261607</v>
      </c>
      <c r="P98" s="7">
        <v>43.609862804822207</v>
      </c>
      <c r="Q98" s="9">
        <v>196.97</v>
      </c>
      <c r="R98" s="9">
        <v>131.37</v>
      </c>
      <c r="S98" s="9">
        <v>36</v>
      </c>
      <c r="T98" s="6">
        <f t="shared" si="4"/>
        <v>115</v>
      </c>
      <c r="U98" s="6">
        <v>43</v>
      </c>
      <c r="V98" s="6">
        <f t="shared" si="5"/>
        <v>19</v>
      </c>
    </row>
    <row r="99" spans="1:22" ht="15">
      <c r="A99" s="3">
        <v>3188</v>
      </c>
      <c r="B99" s="14">
        <v>7216</v>
      </c>
      <c r="C99" s="6" t="s">
        <v>94</v>
      </c>
      <c r="D99" s="13">
        <v>6262</v>
      </c>
      <c r="E99" s="6">
        <v>2</v>
      </c>
      <c r="F99" s="7">
        <v>45.663265306122447</v>
      </c>
      <c r="G99" s="7">
        <v>98.5</v>
      </c>
      <c r="H99" s="9">
        <v>60.629999999999995</v>
      </c>
      <c r="I99" s="7">
        <v>82.262096102977338</v>
      </c>
      <c r="J99" s="7">
        <v>1.24</v>
      </c>
      <c r="K99" s="9">
        <v>1</v>
      </c>
      <c r="L99" s="7">
        <v>10.05586592178771</v>
      </c>
      <c r="M99" s="11">
        <v>4.6359172026293995</v>
      </c>
      <c r="N99" s="7">
        <v>49.659869762237761</v>
      </c>
      <c r="O99" s="9">
        <v>129.70294054279111</v>
      </c>
      <c r="P99" s="7">
        <v>51.198219214394186</v>
      </c>
      <c r="Q99" s="9">
        <v>119.05</v>
      </c>
      <c r="R99" s="9">
        <v>145.05000000000001</v>
      </c>
      <c r="S99" s="9">
        <v>47</v>
      </c>
      <c r="T99" s="6">
        <f t="shared" si="4"/>
        <v>62</v>
      </c>
      <c r="U99" s="6">
        <v>41</v>
      </c>
      <c r="V99" s="6">
        <f t="shared" si="5"/>
        <v>31</v>
      </c>
    </row>
    <row r="100" spans="1:22" ht="15">
      <c r="A100" s="3">
        <v>3189</v>
      </c>
      <c r="B100" s="14">
        <v>7173</v>
      </c>
      <c r="C100" s="6" t="s">
        <v>95</v>
      </c>
      <c r="D100" s="13">
        <v>6265</v>
      </c>
      <c r="E100" s="6">
        <v>2</v>
      </c>
      <c r="F100" s="7">
        <v>43.609756097560975</v>
      </c>
      <c r="G100" s="7">
        <v>96.7</v>
      </c>
      <c r="H100" s="9">
        <v>61.75</v>
      </c>
      <c r="I100" s="7">
        <v>81.639133755184588</v>
      </c>
      <c r="J100" s="7">
        <v>1.73</v>
      </c>
      <c r="K100" s="9">
        <v>2</v>
      </c>
      <c r="L100" s="7">
        <v>10.137024608501118</v>
      </c>
      <c r="M100" s="11">
        <v>4.7755996568724015</v>
      </c>
      <c r="N100" s="7">
        <v>49.756210176870745</v>
      </c>
      <c r="O100" s="9">
        <v>119.38082391369308</v>
      </c>
      <c r="P100" s="7">
        <v>37.276962451754137</v>
      </c>
      <c r="Q100" s="9">
        <v>61.18</v>
      </c>
      <c r="R100" s="9">
        <v>145.65</v>
      </c>
      <c r="S100" s="9">
        <v>40</v>
      </c>
      <c r="T100" s="6">
        <f t="shared" si="4"/>
        <v>101</v>
      </c>
      <c r="U100" s="6">
        <v>44</v>
      </c>
      <c r="V100" s="6">
        <f t="shared" si="5"/>
        <v>15</v>
      </c>
    </row>
    <row r="101" spans="1:22" ht="15">
      <c r="A101" s="3">
        <v>3190</v>
      </c>
      <c r="B101" s="14">
        <v>7415</v>
      </c>
      <c r="C101" s="6" t="s">
        <v>96</v>
      </c>
      <c r="D101" s="13">
        <v>6266</v>
      </c>
      <c r="E101" s="6">
        <v>2</v>
      </c>
      <c r="F101" s="7">
        <v>44.676616915422883</v>
      </c>
      <c r="G101" s="7">
        <v>98.9</v>
      </c>
      <c r="H101" s="9">
        <v>55.709999999999994</v>
      </c>
      <c r="I101" s="7">
        <v>81.883188988705314</v>
      </c>
      <c r="J101" s="7">
        <v>1.53</v>
      </c>
      <c r="K101" s="9">
        <v>1</v>
      </c>
      <c r="L101" s="7">
        <v>10.760000000000002</v>
      </c>
      <c r="M101" s="11">
        <v>4.6341604567647066</v>
      </c>
      <c r="N101" s="7">
        <v>46.719482736842103</v>
      </c>
      <c r="O101" s="9">
        <v>135.83663856811631</v>
      </c>
      <c r="P101" s="7">
        <v>43.988140678780027</v>
      </c>
      <c r="Q101" s="9">
        <v>66.83</v>
      </c>
      <c r="R101" s="9">
        <v>137.59</v>
      </c>
      <c r="S101" s="9">
        <v>53</v>
      </c>
      <c r="T101" s="6">
        <f t="shared" si="4"/>
        <v>25</v>
      </c>
      <c r="U101" s="6">
        <v>40</v>
      </c>
      <c r="V101" s="6">
        <f t="shared" si="5"/>
        <v>45</v>
      </c>
    </row>
    <row r="102" spans="1:22" ht="15">
      <c r="A102" s="3">
        <v>3191</v>
      </c>
      <c r="B102" s="14">
        <v>7286</v>
      </c>
      <c r="C102" s="6" t="s">
        <v>97</v>
      </c>
      <c r="D102" s="13">
        <v>6267</v>
      </c>
      <c r="E102" s="6">
        <v>2</v>
      </c>
      <c r="F102" s="7" t="s">
        <v>168</v>
      </c>
      <c r="G102" s="7">
        <v>98.8</v>
      </c>
      <c r="H102" s="9">
        <v>53.519999999999996</v>
      </c>
      <c r="I102" s="7">
        <v>81.294692269493225</v>
      </c>
      <c r="J102" s="7">
        <v>1.98</v>
      </c>
      <c r="K102" s="9">
        <v>2</v>
      </c>
      <c r="L102" s="7">
        <v>11.729999999999995</v>
      </c>
      <c r="M102" s="11">
        <v>5.1582986320078899</v>
      </c>
      <c r="N102" s="7">
        <v>45.200040868571428</v>
      </c>
      <c r="O102" s="9">
        <v>144.97534943747064</v>
      </c>
      <c r="P102" s="7">
        <v>53.385694204383029</v>
      </c>
      <c r="Q102" s="9">
        <v>185.4</v>
      </c>
      <c r="R102" s="9">
        <v>164.4</v>
      </c>
      <c r="S102" s="9">
        <v>52</v>
      </c>
      <c r="T102" s="6">
        <f t="shared" ref="T102:T133" si="6">RANK(S102,$S$6:$S$125)</f>
        <v>28</v>
      </c>
      <c r="U102" s="6">
        <v>18</v>
      </c>
      <c r="V102" s="6">
        <f t="shared" ref="V102:V133" si="7">RANK(U102,$U$6:$U$125)</f>
        <v>120</v>
      </c>
    </row>
    <row r="103" spans="1:22" ht="15">
      <c r="A103" s="3">
        <v>3192</v>
      </c>
      <c r="B103" s="14">
        <v>7059</v>
      </c>
      <c r="C103" s="6" t="s">
        <v>98</v>
      </c>
      <c r="D103" s="13">
        <v>6269</v>
      </c>
      <c r="E103" s="6">
        <v>2</v>
      </c>
      <c r="F103" s="7">
        <v>43.75903614457831</v>
      </c>
      <c r="G103" s="7">
        <v>97.7</v>
      </c>
      <c r="H103" s="9">
        <v>53.64</v>
      </c>
      <c r="I103" s="7">
        <v>81.67008698128717</v>
      </c>
      <c r="J103" s="7">
        <v>1.72</v>
      </c>
      <c r="K103" s="9">
        <v>1</v>
      </c>
      <c r="L103" s="7">
        <v>9.6365638766519819</v>
      </c>
      <c r="M103" s="11">
        <v>4.7210988239784717</v>
      </c>
      <c r="N103" s="7">
        <v>52.384364405797108</v>
      </c>
      <c r="O103" s="9">
        <v>129.32769660554064</v>
      </c>
      <c r="P103" s="7">
        <v>41.017218813234429</v>
      </c>
      <c r="Q103" s="9">
        <v>138.34</v>
      </c>
      <c r="R103" s="9">
        <v>149.78</v>
      </c>
      <c r="S103" s="9">
        <v>44</v>
      </c>
      <c r="T103" s="6">
        <f t="shared" si="6"/>
        <v>82</v>
      </c>
      <c r="U103" s="6">
        <v>33</v>
      </c>
      <c r="V103" s="6">
        <f t="shared" si="7"/>
        <v>101</v>
      </c>
    </row>
    <row r="104" spans="1:22" ht="15">
      <c r="A104" s="3">
        <v>3193</v>
      </c>
      <c r="B104" s="14">
        <v>7093</v>
      </c>
      <c r="C104" s="6" t="s">
        <v>99</v>
      </c>
      <c r="D104" s="13">
        <v>6270</v>
      </c>
      <c r="E104" s="6">
        <v>2</v>
      </c>
      <c r="F104" s="7">
        <v>48.148148148148145</v>
      </c>
      <c r="G104" s="7">
        <v>99.1</v>
      </c>
      <c r="H104" s="9">
        <v>59.629999999999995</v>
      </c>
      <c r="I104" s="7">
        <v>81.366562150546471</v>
      </c>
      <c r="J104" s="7">
        <v>2.02</v>
      </c>
      <c r="K104" s="9">
        <v>2</v>
      </c>
      <c r="L104" s="7">
        <v>11.085164835164836</v>
      </c>
      <c r="M104" s="11">
        <v>4.9488710914715703</v>
      </c>
      <c r="N104" s="7">
        <v>46.017666796116501</v>
      </c>
      <c r="O104" s="9">
        <v>132.13246008530675</v>
      </c>
      <c r="P104" s="7">
        <v>44.927848744821482</v>
      </c>
      <c r="Q104" s="9">
        <v>79.69</v>
      </c>
      <c r="R104" s="9">
        <v>157.5</v>
      </c>
      <c r="S104" s="9">
        <v>61</v>
      </c>
      <c r="T104" s="6">
        <f t="shared" si="6"/>
        <v>4</v>
      </c>
      <c r="U104" s="6">
        <v>35</v>
      </c>
      <c r="V104" s="6">
        <f t="shared" si="7"/>
        <v>92</v>
      </c>
    </row>
    <row r="105" spans="1:22" ht="15">
      <c r="A105" s="3">
        <v>3194</v>
      </c>
      <c r="B105" s="14">
        <v>7326</v>
      </c>
      <c r="C105" s="6" t="s">
        <v>100</v>
      </c>
      <c r="D105" s="13">
        <v>6271</v>
      </c>
      <c r="E105" s="6">
        <v>2</v>
      </c>
      <c r="F105" s="7">
        <v>42.742316784869978</v>
      </c>
      <c r="G105" s="7">
        <v>98.7</v>
      </c>
      <c r="H105" s="9">
        <v>57.709999999999994</v>
      </c>
      <c r="I105" s="7">
        <v>82.151823368497205</v>
      </c>
      <c r="J105" s="7">
        <v>1.77</v>
      </c>
      <c r="K105" s="9">
        <v>2</v>
      </c>
      <c r="L105" s="7">
        <v>10.854535398230087</v>
      </c>
      <c r="M105" s="11">
        <v>4.7306721196888786</v>
      </c>
      <c r="N105" s="7">
        <v>45.843221873417725</v>
      </c>
      <c r="O105" s="9">
        <v>135.20496572080839</v>
      </c>
      <c r="P105" s="7">
        <v>49.863335860313718</v>
      </c>
      <c r="Q105" s="9">
        <v>124.41</v>
      </c>
      <c r="R105" s="9">
        <v>157.76</v>
      </c>
      <c r="S105" s="9">
        <v>48</v>
      </c>
      <c r="T105" s="6">
        <f t="shared" si="6"/>
        <v>52</v>
      </c>
      <c r="U105" s="6">
        <v>36</v>
      </c>
      <c r="V105" s="6">
        <f t="shared" si="7"/>
        <v>84</v>
      </c>
    </row>
    <row r="106" spans="1:22" ht="15">
      <c r="A106" s="3">
        <v>3195</v>
      </c>
      <c r="B106" s="14">
        <v>7490</v>
      </c>
      <c r="C106" s="6" t="s">
        <v>101</v>
      </c>
      <c r="D106" s="13">
        <v>6272</v>
      </c>
      <c r="E106" s="6">
        <v>2</v>
      </c>
      <c r="F106" s="7">
        <v>40.585585585585584</v>
      </c>
      <c r="G106" s="7">
        <v>96.4</v>
      </c>
      <c r="H106" s="9">
        <v>60.94</v>
      </c>
      <c r="I106" s="7">
        <v>83.115235412879642</v>
      </c>
      <c r="J106" s="7" t="s">
        <v>166</v>
      </c>
      <c r="K106" s="9">
        <v>3</v>
      </c>
      <c r="L106" s="7">
        <v>9.5033296337402895</v>
      </c>
      <c r="M106" s="11">
        <v>4.7738861012685465</v>
      </c>
      <c r="N106" s="7">
        <v>53.001180405797086</v>
      </c>
      <c r="O106" s="9">
        <v>131.43125884364193</v>
      </c>
      <c r="P106" s="7">
        <v>57.407510460512299</v>
      </c>
      <c r="Q106" s="9">
        <v>29.93</v>
      </c>
      <c r="R106" s="9">
        <v>168.16</v>
      </c>
      <c r="S106" s="9">
        <v>48</v>
      </c>
      <c r="T106" s="6">
        <f t="shared" si="6"/>
        <v>52</v>
      </c>
      <c r="U106" s="6">
        <v>38</v>
      </c>
      <c r="V106" s="6">
        <f t="shared" si="7"/>
        <v>67</v>
      </c>
    </row>
    <row r="107" spans="1:22" ht="15">
      <c r="A107" s="3">
        <v>3196</v>
      </c>
      <c r="B107" s="14">
        <v>7320</v>
      </c>
      <c r="C107" s="6" t="s">
        <v>102</v>
      </c>
      <c r="D107" s="13">
        <v>6274</v>
      </c>
      <c r="E107" s="6">
        <v>2</v>
      </c>
      <c r="F107" s="7">
        <v>44.127764127764131</v>
      </c>
      <c r="G107" s="7">
        <v>97.2</v>
      </c>
      <c r="H107" s="9">
        <v>65.709999999999994</v>
      </c>
      <c r="I107" s="7">
        <v>82.412310122854663</v>
      </c>
      <c r="J107" s="7" t="s">
        <v>166</v>
      </c>
      <c r="K107" s="9">
        <v>3</v>
      </c>
      <c r="L107" s="7">
        <v>10.17</v>
      </c>
      <c r="M107" s="11">
        <v>5.2587064390989857</v>
      </c>
      <c r="N107" s="7">
        <v>53.962900906666661</v>
      </c>
      <c r="O107" s="9">
        <v>84.843052876847395</v>
      </c>
      <c r="P107" s="7">
        <v>58.907503354231828</v>
      </c>
      <c r="Q107" s="9">
        <v>76.08</v>
      </c>
      <c r="R107" s="9">
        <v>199.07</v>
      </c>
      <c r="S107" s="9">
        <v>49</v>
      </c>
      <c r="T107" s="6">
        <f t="shared" si="6"/>
        <v>47</v>
      </c>
      <c r="U107" s="6">
        <v>40</v>
      </c>
      <c r="V107" s="6">
        <f t="shared" si="7"/>
        <v>45</v>
      </c>
    </row>
    <row r="108" spans="1:22" ht="15">
      <c r="A108" s="3">
        <v>3197</v>
      </c>
      <c r="B108" s="14">
        <v>7406</v>
      </c>
      <c r="C108" s="6" t="s">
        <v>103</v>
      </c>
      <c r="D108" s="13">
        <v>6275</v>
      </c>
      <c r="E108" s="6">
        <v>2</v>
      </c>
      <c r="F108" s="7">
        <v>48.355795148247978</v>
      </c>
      <c r="G108" s="7">
        <v>98.6</v>
      </c>
      <c r="H108" s="9">
        <v>68.239999999999995</v>
      </c>
      <c r="I108" s="7">
        <v>82.859349071836959</v>
      </c>
      <c r="J108" s="7">
        <v>1.8599999999999999</v>
      </c>
      <c r="K108" s="9">
        <v>2</v>
      </c>
      <c r="L108" s="7">
        <v>11.2876254180602</v>
      </c>
      <c r="M108" s="11">
        <v>4.8190068863173261</v>
      </c>
      <c r="N108" s="7">
        <v>45.870166062111799</v>
      </c>
      <c r="O108" s="9">
        <v>126.09359592106122</v>
      </c>
      <c r="P108" s="7">
        <v>43.718199590758118</v>
      </c>
      <c r="Q108" s="9">
        <v>116.06</v>
      </c>
      <c r="R108" s="9">
        <v>155.59</v>
      </c>
      <c r="S108" s="9">
        <v>57</v>
      </c>
      <c r="T108" s="6">
        <f t="shared" si="6"/>
        <v>13</v>
      </c>
      <c r="U108" s="6">
        <v>36</v>
      </c>
      <c r="V108" s="6">
        <f t="shared" si="7"/>
        <v>84</v>
      </c>
    </row>
    <row r="109" spans="1:22" ht="15">
      <c r="A109" s="3">
        <v>3198</v>
      </c>
      <c r="B109" s="14">
        <v>7209</v>
      </c>
      <c r="C109" s="6" t="s">
        <v>104</v>
      </c>
      <c r="D109" s="13">
        <v>6278</v>
      </c>
      <c r="E109" s="6">
        <v>2</v>
      </c>
      <c r="F109" s="7">
        <v>44.088669950738918</v>
      </c>
      <c r="G109" s="7">
        <v>97.7</v>
      </c>
      <c r="H109" s="9">
        <v>59.239999999999995</v>
      </c>
      <c r="I109" s="7">
        <v>82.477093418407279</v>
      </c>
      <c r="J109" s="7">
        <v>1.81</v>
      </c>
      <c r="K109" s="9">
        <v>2</v>
      </c>
      <c r="L109" s="7">
        <v>11.180000000000001</v>
      </c>
      <c r="M109" s="11">
        <v>4.8125320192012593</v>
      </c>
      <c r="N109" s="7">
        <v>47.249422871794877</v>
      </c>
      <c r="O109" s="9">
        <v>142.13676502809926</v>
      </c>
      <c r="P109" s="7">
        <v>49.36643195999789</v>
      </c>
      <c r="Q109" s="9">
        <v>57.22</v>
      </c>
      <c r="R109" s="9">
        <v>158.28</v>
      </c>
      <c r="S109" s="9">
        <v>56</v>
      </c>
      <c r="T109" s="6">
        <f t="shared" si="6"/>
        <v>17</v>
      </c>
      <c r="U109" s="6">
        <v>40</v>
      </c>
      <c r="V109" s="6">
        <f t="shared" si="7"/>
        <v>45</v>
      </c>
    </row>
    <row r="110" spans="1:22" ht="15">
      <c r="A110" s="3">
        <v>3199</v>
      </c>
      <c r="B110" s="14">
        <v>7243</v>
      </c>
      <c r="C110" s="6" t="s">
        <v>105</v>
      </c>
      <c r="D110" s="13">
        <v>6279</v>
      </c>
      <c r="E110" s="6">
        <v>2</v>
      </c>
      <c r="F110" s="7">
        <v>48.672086720867206</v>
      </c>
      <c r="G110" s="7">
        <v>97.9</v>
      </c>
      <c r="H110" s="9">
        <v>69.150000000000006</v>
      </c>
      <c r="I110" s="7">
        <v>82.956918801201411</v>
      </c>
      <c r="J110" s="7">
        <v>1.63</v>
      </c>
      <c r="K110" s="9">
        <v>1</v>
      </c>
      <c r="L110" s="7">
        <v>11.449999999999998</v>
      </c>
      <c r="M110" s="11">
        <v>5.2346889967056383</v>
      </c>
      <c r="N110" s="7">
        <v>49.136898944785273</v>
      </c>
      <c r="O110" s="9">
        <v>130.70446287341753</v>
      </c>
      <c r="P110" s="7">
        <v>44.89032873003606</v>
      </c>
      <c r="Q110" s="9">
        <v>57.83</v>
      </c>
      <c r="R110" s="9">
        <v>192.88</v>
      </c>
      <c r="S110" s="9">
        <v>60</v>
      </c>
      <c r="T110" s="6">
        <f t="shared" si="6"/>
        <v>5</v>
      </c>
      <c r="U110" s="6">
        <v>37</v>
      </c>
      <c r="V110" s="6">
        <f t="shared" si="7"/>
        <v>75</v>
      </c>
    </row>
    <row r="111" spans="1:22" ht="15">
      <c r="A111" s="3">
        <v>3200</v>
      </c>
      <c r="B111" s="14">
        <v>7299</v>
      </c>
      <c r="C111" s="6" t="s">
        <v>106</v>
      </c>
      <c r="D111" s="13">
        <v>6281</v>
      </c>
      <c r="E111" s="6">
        <v>2</v>
      </c>
      <c r="F111" s="7">
        <v>42.918660287081337</v>
      </c>
      <c r="G111" s="7">
        <v>97.5</v>
      </c>
      <c r="H111" s="9">
        <v>64.22</v>
      </c>
      <c r="I111" s="7">
        <v>82.524972577891987</v>
      </c>
      <c r="J111" s="7">
        <v>1.9300000000000002</v>
      </c>
      <c r="K111" s="9">
        <v>2</v>
      </c>
      <c r="L111" s="7">
        <v>12.123745819397993</v>
      </c>
      <c r="M111" s="11">
        <v>4.9371319093473227</v>
      </c>
      <c r="N111" s="7">
        <v>41.285999737704913</v>
      </c>
      <c r="O111" s="9">
        <v>138.20375894429839</v>
      </c>
      <c r="P111" s="7">
        <v>50.510320119545753</v>
      </c>
      <c r="Q111" s="9">
        <v>37.479999999999997</v>
      </c>
      <c r="R111" s="9">
        <v>168.13</v>
      </c>
      <c r="S111" s="9">
        <v>64</v>
      </c>
      <c r="T111" s="6">
        <f t="shared" si="6"/>
        <v>2</v>
      </c>
      <c r="U111" s="6">
        <v>40</v>
      </c>
      <c r="V111" s="6">
        <f t="shared" si="7"/>
        <v>45</v>
      </c>
    </row>
    <row r="112" spans="1:22" ht="15">
      <c r="A112" s="3">
        <v>3201</v>
      </c>
      <c r="B112" s="14">
        <v>7112</v>
      </c>
      <c r="C112" s="6" t="s">
        <v>107</v>
      </c>
      <c r="D112" s="13">
        <v>6283</v>
      </c>
      <c r="E112" s="6">
        <v>2</v>
      </c>
      <c r="F112" s="7">
        <v>43.552311435523116</v>
      </c>
      <c r="G112" s="7">
        <v>96.2</v>
      </c>
      <c r="H112" s="9">
        <v>59.75</v>
      </c>
      <c r="I112" s="7">
        <v>81.6201679825773</v>
      </c>
      <c r="J112" s="7">
        <v>1.52</v>
      </c>
      <c r="K112" s="9">
        <v>1</v>
      </c>
      <c r="L112" s="7">
        <v>10.544692737430168</v>
      </c>
      <c r="M112" s="11">
        <v>4.8301740575083896</v>
      </c>
      <c r="N112" s="7">
        <v>48.047295480519495</v>
      </c>
      <c r="O112" s="9">
        <v>130.34352995279664</v>
      </c>
      <c r="P112" s="7">
        <v>43.350722964540992</v>
      </c>
      <c r="Q112" s="9">
        <v>118.83</v>
      </c>
      <c r="R112" s="9">
        <v>158.54</v>
      </c>
      <c r="S112" s="9">
        <v>48</v>
      </c>
      <c r="T112" s="6">
        <f t="shared" si="6"/>
        <v>52</v>
      </c>
      <c r="U112" s="6">
        <v>37</v>
      </c>
      <c r="V112" s="6">
        <f t="shared" si="7"/>
        <v>75</v>
      </c>
    </row>
    <row r="113" spans="1:22" ht="15">
      <c r="A113" s="3">
        <v>3202</v>
      </c>
      <c r="B113" s="14">
        <v>7220</v>
      </c>
      <c r="C113" s="6" t="s">
        <v>108</v>
      </c>
      <c r="D113" s="13">
        <v>6288</v>
      </c>
      <c r="E113" s="6">
        <v>2</v>
      </c>
      <c r="F113" s="7">
        <v>41.241379310344826</v>
      </c>
      <c r="G113" s="7">
        <v>96</v>
      </c>
      <c r="H113" s="9">
        <v>61.81</v>
      </c>
      <c r="I113" s="7">
        <v>83.20322400198819</v>
      </c>
      <c r="J113" s="7">
        <v>1.6800000000000002</v>
      </c>
      <c r="K113" s="9">
        <v>1</v>
      </c>
      <c r="L113" s="7">
        <v>9.98</v>
      </c>
      <c r="M113" s="11">
        <v>4.6713557541169166</v>
      </c>
      <c r="N113" s="7">
        <v>47.092818736842105</v>
      </c>
      <c r="O113" s="9">
        <v>133.82171476008477</v>
      </c>
      <c r="P113" s="7">
        <v>53.744984141629757</v>
      </c>
      <c r="Q113" s="9">
        <v>23.45</v>
      </c>
      <c r="R113" s="9">
        <v>155.52000000000001</v>
      </c>
      <c r="S113" s="9">
        <v>50</v>
      </c>
      <c r="T113" s="6">
        <f t="shared" si="6"/>
        <v>41</v>
      </c>
      <c r="U113" s="6">
        <v>48</v>
      </c>
      <c r="V113" s="6">
        <f t="shared" si="7"/>
        <v>3</v>
      </c>
    </row>
    <row r="114" spans="1:22" ht="15">
      <c r="A114" s="3">
        <v>3203</v>
      </c>
      <c r="B114" s="14">
        <v>7305</v>
      </c>
      <c r="C114" s="6" t="s">
        <v>109</v>
      </c>
      <c r="D114" s="13">
        <v>6292</v>
      </c>
      <c r="E114" s="6">
        <v>2</v>
      </c>
      <c r="F114" s="7">
        <v>47.335092348284959</v>
      </c>
      <c r="G114" s="7">
        <v>98.5</v>
      </c>
      <c r="H114" s="9">
        <v>52.09</v>
      </c>
      <c r="I114" s="7">
        <v>81.325419312818866</v>
      </c>
      <c r="J114" s="7">
        <v>1.5699999999999998</v>
      </c>
      <c r="K114" s="9">
        <v>1</v>
      </c>
      <c r="L114" s="7">
        <v>10.312151616499442</v>
      </c>
      <c r="M114" s="11">
        <v>4.9908481267711613</v>
      </c>
      <c r="N114" s="7">
        <v>49.613367272727274</v>
      </c>
      <c r="O114" s="9">
        <v>135.10971916239521</v>
      </c>
      <c r="P114" s="7">
        <v>49.624734391357904</v>
      </c>
      <c r="Q114" s="9">
        <v>105.36</v>
      </c>
      <c r="R114" s="9">
        <v>145.59</v>
      </c>
      <c r="S114" s="9">
        <v>48</v>
      </c>
      <c r="T114" s="6">
        <f t="shared" si="6"/>
        <v>52</v>
      </c>
      <c r="U114" s="6">
        <v>33</v>
      </c>
      <c r="V114" s="6">
        <f t="shared" si="7"/>
        <v>101</v>
      </c>
    </row>
    <row r="115" spans="1:22" ht="15">
      <c r="A115" s="3">
        <v>3204</v>
      </c>
      <c r="B115" s="14">
        <v>7213</v>
      </c>
      <c r="C115" s="6" t="s">
        <v>110</v>
      </c>
      <c r="D115" s="13">
        <v>6293</v>
      </c>
      <c r="E115" s="6">
        <v>2</v>
      </c>
      <c r="F115" s="7">
        <v>43.535108958837775</v>
      </c>
      <c r="G115" s="7">
        <v>98.6</v>
      </c>
      <c r="H115" s="9">
        <v>60.260000000000005</v>
      </c>
      <c r="I115" s="7">
        <v>82.443984504208146</v>
      </c>
      <c r="J115" s="7">
        <v>1.6</v>
      </c>
      <c r="K115" s="9">
        <v>1</v>
      </c>
      <c r="L115" s="7">
        <v>11.089999999999998</v>
      </c>
      <c r="M115" s="11">
        <v>5.2355858535093969</v>
      </c>
      <c r="N115" s="7">
        <v>48.334345156626505</v>
      </c>
      <c r="O115" s="9">
        <v>160.19449113713932</v>
      </c>
      <c r="P115" s="7">
        <v>55.342197917919641</v>
      </c>
      <c r="Q115" s="9">
        <v>36.39</v>
      </c>
      <c r="R115" s="9">
        <v>179.5</v>
      </c>
      <c r="S115" s="9">
        <v>60</v>
      </c>
      <c r="T115" s="6">
        <f t="shared" si="6"/>
        <v>5</v>
      </c>
      <c r="U115" s="6">
        <v>41</v>
      </c>
      <c r="V115" s="6">
        <f t="shared" si="7"/>
        <v>31</v>
      </c>
    </row>
    <row r="116" spans="1:22" ht="15">
      <c r="A116" s="3">
        <v>3205</v>
      </c>
      <c r="B116" s="14">
        <v>7057</v>
      </c>
      <c r="C116" s="6" t="s">
        <v>111</v>
      </c>
      <c r="D116" s="13">
        <v>6297</v>
      </c>
      <c r="E116" s="6">
        <v>2</v>
      </c>
      <c r="F116" s="7">
        <v>45.801526717557252</v>
      </c>
      <c r="G116" s="7">
        <v>98.2</v>
      </c>
      <c r="H116" s="9">
        <v>60.42</v>
      </c>
      <c r="I116" s="7">
        <v>81.682724325788882</v>
      </c>
      <c r="J116" s="7" t="s">
        <v>166</v>
      </c>
      <c r="K116" s="9">
        <v>3</v>
      </c>
      <c r="L116" s="7">
        <v>10.67</v>
      </c>
      <c r="M116" s="11">
        <v>4.6244812406676399</v>
      </c>
      <c r="N116" s="7">
        <v>46.626148736842111</v>
      </c>
      <c r="O116" s="9">
        <v>126.68369449006036</v>
      </c>
      <c r="P116" s="7">
        <v>41.174362585606502</v>
      </c>
      <c r="Q116" s="9">
        <v>225.23</v>
      </c>
      <c r="R116" s="9">
        <v>151.32</v>
      </c>
      <c r="S116" s="9">
        <v>44</v>
      </c>
      <c r="T116" s="6">
        <f t="shared" si="6"/>
        <v>82</v>
      </c>
      <c r="U116" s="6">
        <v>35</v>
      </c>
      <c r="V116" s="6">
        <f t="shared" si="7"/>
        <v>92</v>
      </c>
    </row>
    <row r="117" spans="1:22" ht="15">
      <c r="A117" s="3">
        <v>3206</v>
      </c>
      <c r="B117" s="14">
        <v>7232</v>
      </c>
      <c r="C117" s="6" t="s">
        <v>112</v>
      </c>
      <c r="D117" s="13">
        <v>6298</v>
      </c>
      <c r="E117" s="6">
        <v>2</v>
      </c>
      <c r="F117" s="7">
        <v>42.494117647058822</v>
      </c>
      <c r="G117" s="7">
        <v>97.8</v>
      </c>
      <c r="H117" s="9">
        <v>62.3</v>
      </c>
      <c r="I117" s="7">
        <v>82.942617830778389</v>
      </c>
      <c r="J117" s="7">
        <v>1.71</v>
      </c>
      <c r="K117" s="9">
        <v>1</v>
      </c>
      <c r="L117" s="7">
        <v>10.459999999999997</v>
      </c>
      <c r="M117" s="11">
        <v>4.8739248289457153</v>
      </c>
      <c r="N117" s="7">
        <v>48.10342307096775</v>
      </c>
      <c r="O117" s="9">
        <v>122.27116670114016</v>
      </c>
      <c r="P117" s="7">
        <v>52.850307310114417</v>
      </c>
      <c r="Q117" s="9">
        <v>115.03</v>
      </c>
      <c r="R117" s="9">
        <v>161.91</v>
      </c>
      <c r="S117" s="9">
        <v>51</v>
      </c>
      <c r="T117" s="6">
        <f t="shared" si="6"/>
        <v>35</v>
      </c>
      <c r="U117" s="6">
        <v>42</v>
      </c>
      <c r="V117" s="6">
        <f t="shared" si="7"/>
        <v>25</v>
      </c>
    </row>
    <row r="118" spans="1:22" ht="15">
      <c r="A118" s="3">
        <v>3207</v>
      </c>
      <c r="B118" s="14">
        <v>7413</v>
      </c>
      <c r="C118" s="6" t="s">
        <v>113</v>
      </c>
      <c r="D118" s="13">
        <v>6299</v>
      </c>
      <c r="E118" s="6">
        <v>2</v>
      </c>
      <c r="F118" s="7">
        <v>44.455445544554458</v>
      </c>
      <c r="G118" s="7">
        <v>96.6</v>
      </c>
      <c r="H118" s="9">
        <v>56.709999999999994</v>
      </c>
      <c r="I118" s="7">
        <v>81.731327711801157</v>
      </c>
      <c r="J118" s="7">
        <v>1.73</v>
      </c>
      <c r="K118" s="9">
        <v>2</v>
      </c>
      <c r="L118" s="7">
        <v>11.275055679287306</v>
      </c>
      <c r="M118" s="11">
        <v>4.903172872971</v>
      </c>
      <c r="N118" s="7">
        <v>47.549225620253175</v>
      </c>
      <c r="O118" s="9">
        <v>126.44324363120765</v>
      </c>
      <c r="P118" s="7">
        <v>54.261856893032423</v>
      </c>
      <c r="Q118" s="9">
        <v>200.06</v>
      </c>
      <c r="R118" s="9">
        <v>143.6</v>
      </c>
      <c r="S118" s="9">
        <v>52</v>
      </c>
      <c r="T118" s="6">
        <f t="shared" si="6"/>
        <v>28</v>
      </c>
      <c r="U118" s="6">
        <v>29</v>
      </c>
      <c r="V118" s="6">
        <f t="shared" si="7"/>
        <v>112</v>
      </c>
    </row>
    <row r="119" spans="1:22" ht="15">
      <c r="A119" s="3">
        <v>3208</v>
      </c>
      <c r="B119" s="14">
        <v>7224</v>
      </c>
      <c r="C119" s="6" t="s">
        <v>114</v>
      </c>
      <c r="D119" s="13">
        <v>6301</v>
      </c>
      <c r="E119" s="6">
        <v>2</v>
      </c>
      <c r="F119" s="7">
        <v>46.307692307692307</v>
      </c>
      <c r="G119" s="7">
        <v>97.5</v>
      </c>
      <c r="H119" s="9">
        <v>58.3</v>
      </c>
      <c r="I119" s="7">
        <v>82.496048451401222</v>
      </c>
      <c r="J119" s="7">
        <v>1.5899999999999999</v>
      </c>
      <c r="K119" s="9">
        <v>1</v>
      </c>
      <c r="L119" s="7">
        <v>11.16</v>
      </c>
      <c r="M119" s="11">
        <v>5.0959332618147624</v>
      </c>
      <c r="N119" s="7">
        <v>46.966945831325305</v>
      </c>
      <c r="O119" s="9">
        <v>123.5086712885338</v>
      </c>
      <c r="P119" s="7">
        <v>60.121574230487042</v>
      </c>
      <c r="Q119" s="9">
        <v>39.520000000000003</v>
      </c>
      <c r="R119" s="9">
        <v>161.02000000000001</v>
      </c>
      <c r="S119" s="9">
        <v>65</v>
      </c>
      <c r="T119" s="6">
        <f t="shared" si="6"/>
        <v>1</v>
      </c>
      <c r="U119" s="6">
        <v>41</v>
      </c>
      <c r="V119" s="6">
        <f t="shared" si="7"/>
        <v>31</v>
      </c>
    </row>
    <row r="120" spans="1:22" ht="15">
      <c r="A120" s="3">
        <v>3209</v>
      </c>
      <c r="B120" s="14">
        <v>7323</v>
      </c>
      <c r="C120" s="6" t="s">
        <v>115</v>
      </c>
      <c r="D120" s="13">
        <v>6302</v>
      </c>
      <c r="E120" s="6">
        <v>2</v>
      </c>
      <c r="F120" s="7">
        <v>41.797235023041473</v>
      </c>
      <c r="G120" s="7">
        <v>97.3</v>
      </c>
      <c r="H120" s="9">
        <v>67.56</v>
      </c>
      <c r="I120" s="7">
        <v>82.432943411408488</v>
      </c>
      <c r="J120" s="7">
        <v>1.5899999999999999</v>
      </c>
      <c r="K120" s="9">
        <v>1</v>
      </c>
      <c r="L120" s="7">
        <v>10.0606394707828</v>
      </c>
      <c r="M120" s="11">
        <v>4.7553412379586728</v>
      </c>
      <c r="N120" s="7">
        <v>48.802701959731536</v>
      </c>
      <c r="O120" s="9">
        <v>121.02595910240144</v>
      </c>
      <c r="P120" s="7">
        <v>59.917618280213183</v>
      </c>
      <c r="Q120" s="9">
        <v>81.349999999999994</v>
      </c>
      <c r="R120" s="9">
        <v>147.26</v>
      </c>
      <c r="S120" s="9">
        <v>50</v>
      </c>
      <c r="T120" s="6">
        <f t="shared" si="6"/>
        <v>41</v>
      </c>
      <c r="U120" s="6">
        <v>41</v>
      </c>
      <c r="V120" s="6">
        <f t="shared" si="7"/>
        <v>31</v>
      </c>
    </row>
    <row r="121" spans="1:22" ht="15">
      <c r="A121" s="3">
        <v>3210</v>
      </c>
      <c r="B121" s="14">
        <v>7225</v>
      </c>
      <c r="C121" s="6" t="s">
        <v>116</v>
      </c>
      <c r="D121" s="13">
        <v>6303</v>
      </c>
      <c r="E121" s="6">
        <v>2</v>
      </c>
      <c r="F121" s="7">
        <v>48.232189973614773</v>
      </c>
      <c r="G121" s="7">
        <v>98.7</v>
      </c>
      <c r="H121" s="9">
        <v>62.239999999999995</v>
      </c>
      <c r="I121" s="7">
        <v>81.957119564587529</v>
      </c>
      <c r="J121" s="7">
        <v>1.9100000000000001</v>
      </c>
      <c r="K121" s="9">
        <v>2</v>
      </c>
      <c r="L121" s="7">
        <v>10.999999999999998</v>
      </c>
      <c r="M121" s="11">
        <v>4.8634896955426434</v>
      </c>
      <c r="N121" s="7">
        <v>45.377096390243906</v>
      </c>
      <c r="O121" s="9">
        <v>128.99386950315684</v>
      </c>
      <c r="P121" s="7">
        <v>52.017714474919067</v>
      </c>
      <c r="Q121" s="9">
        <v>173.34</v>
      </c>
      <c r="R121" s="9">
        <v>143.91999999999999</v>
      </c>
      <c r="S121" s="9">
        <v>52</v>
      </c>
      <c r="T121" s="6">
        <f t="shared" si="6"/>
        <v>28</v>
      </c>
      <c r="U121" s="6">
        <v>29</v>
      </c>
      <c r="V121" s="6">
        <f t="shared" si="7"/>
        <v>112</v>
      </c>
    </row>
    <row r="122" spans="1:22" ht="15">
      <c r="A122" s="3">
        <v>3212</v>
      </c>
      <c r="B122" s="14">
        <v>7501</v>
      </c>
      <c r="C122" s="6" t="s">
        <v>117</v>
      </c>
      <c r="D122" s="13">
        <v>6305</v>
      </c>
      <c r="E122" s="6">
        <v>2</v>
      </c>
      <c r="F122" s="7">
        <v>40.80898876404494</v>
      </c>
      <c r="G122" s="7">
        <v>98.8</v>
      </c>
      <c r="H122" s="9">
        <v>58.53</v>
      </c>
      <c r="I122" s="7">
        <v>82.933802000825679</v>
      </c>
      <c r="J122" s="7">
        <v>1.7</v>
      </c>
      <c r="K122" s="9">
        <v>2</v>
      </c>
      <c r="L122" s="7">
        <v>11.139999999999997</v>
      </c>
      <c r="M122" s="11">
        <v>4.7975292153589315</v>
      </c>
      <c r="N122" s="7">
        <v>45.693932919254664</v>
      </c>
      <c r="O122" s="9">
        <v>169.54656709347486</v>
      </c>
      <c r="P122" s="7">
        <v>57.263609119618593</v>
      </c>
      <c r="Q122" s="9">
        <v>49.6</v>
      </c>
      <c r="R122" s="9">
        <v>150.43</v>
      </c>
      <c r="S122" s="9">
        <v>59</v>
      </c>
      <c r="T122" s="6">
        <f t="shared" si="6"/>
        <v>7</v>
      </c>
      <c r="U122" s="6">
        <v>39</v>
      </c>
      <c r="V122" s="6">
        <f t="shared" si="7"/>
        <v>60</v>
      </c>
    </row>
    <row r="123" spans="1:22" ht="15">
      <c r="A123" s="3">
        <v>3213</v>
      </c>
      <c r="B123" s="14">
        <v>7270</v>
      </c>
      <c r="C123" s="6" t="s">
        <v>118</v>
      </c>
      <c r="D123" s="13">
        <v>6309</v>
      </c>
      <c r="E123" s="6">
        <v>2</v>
      </c>
      <c r="F123" s="7">
        <v>40</v>
      </c>
      <c r="G123" s="7">
        <v>97</v>
      </c>
      <c r="H123" s="9">
        <v>62.25</v>
      </c>
      <c r="I123" s="7">
        <v>82.287885662821679</v>
      </c>
      <c r="J123" s="7">
        <v>1.6099999999999999</v>
      </c>
      <c r="K123" s="9">
        <v>1</v>
      </c>
      <c r="L123" s="7">
        <v>10.760000000000002</v>
      </c>
      <c r="M123" s="11">
        <v>4.9065005840634139</v>
      </c>
      <c r="N123" s="7">
        <v>45.896124487804883</v>
      </c>
      <c r="O123" s="9">
        <v>143.86996267859092</v>
      </c>
      <c r="P123" s="7">
        <v>52.062425210972521</v>
      </c>
      <c r="Q123" s="9">
        <v>55.76</v>
      </c>
      <c r="R123" s="9">
        <v>147.47999999999999</v>
      </c>
      <c r="S123" s="9">
        <v>57</v>
      </c>
      <c r="T123" s="6">
        <f t="shared" si="6"/>
        <v>13</v>
      </c>
      <c r="U123" s="6">
        <v>34</v>
      </c>
      <c r="V123" s="6">
        <f t="shared" si="7"/>
        <v>96</v>
      </c>
    </row>
    <row r="124" spans="1:22" ht="15">
      <c r="A124" s="3">
        <v>3214</v>
      </c>
      <c r="B124" s="14">
        <v>7082</v>
      </c>
      <c r="C124" s="6" t="s">
        <v>119</v>
      </c>
      <c r="D124" s="13">
        <v>6310</v>
      </c>
      <c r="E124" s="6">
        <v>2</v>
      </c>
      <c r="F124" s="7">
        <v>45.75063613231552</v>
      </c>
      <c r="G124" s="7">
        <v>98.8</v>
      </c>
      <c r="H124" s="9">
        <v>58.769999999999996</v>
      </c>
      <c r="I124" s="7">
        <v>82.585147753240861</v>
      </c>
      <c r="J124" s="7">
        <v>1.74</v>
      </c>
      <c r="K124" s="9">
        <v>2</v>
      </c>
      <c r="L124" s="7">
        <v>11.749165739710788</v>
      </c>
      <c r="M124" s="11">
        <v>5.0891077075718014</v>
      </c>
      <c r="N124" s="7">
        <v>44.298369363636361</v>
      </c>
      <c r="O124" s="9">
        <v>166.55217101555473</v>
      </c>
      <c r="P124" s="7">
        <v>55.43323895347352</v>
      </c>
      <c r="Q124" s="9">
        <v>38.21</v>
      </c>
      <c r="R124" s="9">
        <v>147.19999999999999</v>
      </c>
      <c r="S124" s="9">
        <v>64</v>
      </c>
      <c r="T124" s="6">
        <f t="shared" si="6"/>
        <v>2</v>
      </c>
      <c r="U124" s="6">
        <v>34</v>
      </c>
      <c r="V124" s="6">
        <f t="shared" si="7"/>
        <v>96</v>
      </c>
    </row>
    <row r="125" spans="1:22" ht="15">
      <c r="A125" s="3">
        <v>3215</v>
      </c>
      <c r="B125" s="14">
        <v>7141</v>
      </c>
      <c r="C125" s="6" t="s">
        <v>120</v>
      </c>
      <c r="D125" s="13">
        <v>6312</v>
      </c>
      <c r="E125" s="6">
        <v>2</v>
      </c>
      <c r="F125" s="7">
        <v>42.411347517730498</v>
      </c>
      <c r="G125" s="7">
        <v>98.5</v>
      </c>
      <c r="H125" s="9">
        <v>59.849999999999994</v>
      </c>
      <c r="I125" s="7">
        <v>82.228236548595049</v>
      </c>
      <c r="J125" s="7">
        <v>1.54</v>
      </c>
      <c r="K125" s="9">
        <v>1</v>
      </c>
      <c r="L125" s="7">
        <v>11.636008918617614</v>
      </c>
      <c r="M125" s="11">
        <v>4.9054773305526602</v>
      </c>
      <c r="N125" s="7">
        <v>45.071643209580849</v>
      </c>
      <c r="O125" s="9">
        <v>138.2130585838033</v>
      </c>
      <c r="P125" s="7">
        <v>61.624781442492171</v>
      </c>
      <c r="Q125" s="9">
        <v>175.81</v>
      </c>
      <c r="R125" s="9">
        <v>148.80000000000001</v>
      </c>
      <c r="S125" s="9">
        <v>58</v>
      </c>
      <c r="T125" s="6">
        <f t="shared" si="6"/>
        <v>9</v>
      </c>
      <c r="U125" s="6">
        <v>25</v>
      </c>
      <c r="V125" s="6">
        <f t="shared" si="7"/>
        <v>118</v>
      </c>
    </row>
    <row r="126" spans="1:22">
      <c r="F126" s="7"/>
      <c r="G126" s="7"/>
      <c r="H126" s="9"/>
      <c r="I126" s="7"/>
      <c r="J126" s="7"/>
      <c r="K126" s="9"/>
      <c r="L126" s="7"/>
      <c r="M126" s="11"/>
      <c r="N126" s="7"/>
      <c r="O126" s="9"/>
      <c r="P126" s="7"/>
      <c r="Q126" s="9"/>
      <c r="R126" s="9"/>
      <c r="S126" s="9"/>
    </row>
    <row r="127" spans="1:22">
      <c r="A127" s="3">
        <v>3118</v>
      </c>
      <c r="C127" s="6" t="s">
        <v>26</v>
      </c>
      <c r="E127" s="6">
        <v>2</v>
      </c>
      <c r="F127" s="7">
        <v>40.677200902934537</v>
      </c>
      <c r="G127" s="7">
        <v>97.7</v>
      </c>
      <c r="H127" s="9">
        <v>88.81</v>
      </c>
      <c r="I127" s="7">
        <v>84.730260184016018</v>
      </c>
      <c r="J127" s="7">
        <v>1.75</v>
      </c>
      <c r="K127" s="9">
        <v>1</v>
      </c>
      <c r="L127" s="7">
        <v>11.445615982241954</v>
      </c>
      <c r="M127" s="11">
        <v>5.8528218929354061</v>
      </c>
      <c r="N127" s="7">
        <v>52.174504372093018</v>
      </c>
      <c r="O127" s="9">
        <v>127.67857488324466</v>
      </c>
      <c r="P127" s="7">
        <v>97.936245811072297</v>
      </c>
      <c r="Q127" s="9">
        <v>164.72</v>
      </c>
      <c r="R127" s="9">
        <v>227.91</v>
      </c>
      <c r="S127" s="9">
        <v>53</v>
      </c>
      <c r="U127" s="6">
        <v>28</v>
      </c>
    </row>
    <row r="128" spans="1:22">
      <c r="A128" s="3">
        <v>3149</v>
      </c>
      <c r="C128" s="6" t="s">
        <v>26</v>
      </c>
      <c r="E128" s="6">
        <v>2</v>
      </c>
      <c r="F128" s="7">
        <v>40</v>
      </c>
      <c r="G128" s="7">
        <v>97.8</v>
      </c>
      <c r="H128" s="9">
        <v>87.24</v>
      </c>
      <c r="I128" s="7">
        <v>85.327618176416166</v>
      </c>
      <c r="J128" s="7">
        <v>1.97</v>
      </c>
      <c r="K128" s="9">
        <v>1</v>
      </c>
      <c r="L128" s="7">
        <v>12.333702882483371</v>
      </c>
      <c r="M128" s="11">
        <v>5.9624476755070202</v>
      </c>
      <c r="N128" s="7">
        <v>51.822765559322036</v>
      </c>
      <c r="O128" s="9">
        <v>114.20602471839632</v>
      </c>
      <c r="P128" s="7">
        <v>102.04849094267126</v>
      </c>
      <c r="Q128" s="9">
        <v>252.51</v>
      </c>
      <c r="R128" s="9">
        <v>230.96</v>
      </c>
      <c r="S128" s="9">
        <v>48</v>
      </c>
      <c r="U128" s="6">
        <v>28</v>
      </c>
    </row>
    <row r="129" spans="1:21">
      <c r="A129" s="3">
        <v>3180</v>
      </c>
      <c r="C129" s="6" t="s">
        <v>26</v>
      </c>
      <c r="E129" s="6">
        <v>2</v>
      </c>
      <c r="F129" s="7">
        <v>40.630630630630634</v>
      </c>
      <c r="G129" s="7">
        <v>97.8</v>
      </c>
      <c r="H129" s="9">
        <v>88.05</v>
      </c>
      <c r="I129" s="7">
        <v>84.936780240934823</v>
      </c>
      <c r="J129" s="7">
        <v>1.78</v>
      </c>
      <c r="K129" s="9">
        <v>1</v>
      </c>
      <c r="L129" s="7">
        <v>13.000000000000002</v>
      </c>
      <c r="M129" s="11">
        <v>5.6981505887552117</v>
      </c>
      <c r="N129" s="7">
        <v>45.962314189473688</v>
      </c>
      <c r="O129" s="9">
        <v>122.8835733684827</v>
      </c>
      <c r="P129" s="7">
        <v>92.083750988697162</v>
      </c>
      <c r="Q129" s="9">
        <v>177.99</v>
      </c>
      <c r="R129" s="9">
        <v>222.81</v>
      </c>
      <c r="S129" s="9">
        <v>53</v>
      </c>
      <c r="U129" s="6">
        <v>23</v>
      </c>
    </row>
    <row r="130" spans="1:21">
      <c r="A130" s="2">
        <v>3211</v>
      </c>
      <c r="B130" s="2"/>
      <c r="C130" s="5" t="s">
        <v>26</v>
      </c>
      <c r="D130" s="5"/>
      <c r="E130" s="5">
        <v>2</v>
      </c>
      <c r="F130" s="8">
        <v>41.09339407744875</v>
      </c>
      <c r="G130" s="8">
        <v>97.6</v>
      </c>
      <c r="H130" s="10">
        <v>87.26</v>
      </c>
      <c r="I130" s="8">
        <v>84.802007375678883</v>
      </c>
      <c r="J130" s="8">
        <v>2.0299999999999998</v>
      </c>
      <c r="K130" s="10">
        <v>1</v>
      </c>
      <c r="L130" s="8">
        <v>12.541574279379157</v>
      </c>
      <c r="M130" s="12">
        <v>5.8516006468440267</v>
      </c>
      <c r="N130" s="8">
        <v>49.580191999999997</v>
      </c>
      <c r="O130" s="10">
        <v>122.30910170234478</v>
      </c>
      <c r="P130" s="8">
        <v>105.22663564118483</v>
      </c>
      <c r="Q130" s="10">
        <v>137.76</v>
      </c>
      <c r="R130" s="10">
        <v>217.53</v>
      </c>
      <c r="S130" s="10">
        <v>56</v>
      </c>
      <c r="U130" s="6">
        <v>26</v>
      </c>
    </row>
    <row r="131" spans="1:21">
      <c r="F131" s="7"/>
      <c r="G131" s="7"/>
      <c r="H131" s="9"/>
      <c r="I131" s="7"/>
      <c r="J131" s="7"/>
      <c r="K131" s="9"/>
      <c r="L131" s="7"/>
      <c r="M131" s="11"/>
      <c r="N131" s="7"/>
      <c r="O131" s="9"/>
      <c r="P131" s="7"/>
      <c r="Q131" s="9"/>
      <c r="R131" s="9"/>
      <c r="S131" s="9"/>
    </row>
    <row r="132" spans="1:21">
      <c r="A132" s="4" t="s">
        <v>152</v>
      </c>
      <c r="B132" s="4"/>
      <c r="F132" s="7">
        <f>MIN(F6:F125)</f>
        <v>36.016260162601625</v>
      </c>
      <c r="G132" s="7">
        <f>MIN(G6:G125)</f>
        <v>95.1</v>
      </c>
      <c r="H132" s="9">
        <f>MIN(H6:H125)</f>
        <v>52.09</v>
      </c>
      <c r="I132" s="7">
        <f>MIN(I6:I125)</f>
        <v>80.82322498516001</v>
      </c>
      <c r="J132" s="7">
        <f>MIN(J6:J125)</f>
        <v>1.24</v>
      </c>
      <c r="K132" s="9"/>
      <c r="L132" s="7">
        <f t="shared" ref="L132:R132" si="8">MIN(L6:L125)</f>
        <v>8.8882618510158018</v>
      </c>
      <c r="M132" s="11">
        <f t="shared" si="8"/>
        <v>4.0761590388695845</v>
      </c>
      <c r="N132" s="7">
        <f t="shared" si="8"/>
        <v>40.878852878048782</v>
      </c>
      <c r="O132" s="9">
        <f t="shared" si="8"/>
        <v>84.843052876847395</v>
      </c>
      <c r="P132" s="7">
        <f t="shared" si="8"/>
        <v>30.897871562289286</v>
      </c>
      <c r="Q132" s="9">
        <f t="shared" si="8"/>
        <v>23.45</v>
      </c>
      <c r="R132" s="9">
        <f t="shared" si="8"/>
        <v>114.16</v>
      </c>
      <c r="S132" s="9"/>
    </row>
    <row r="133" spans="1:21">
      <c r="A133" s="4" t="s">
        <v>153</v>
      </c>
      <c r="B133" s="4"/>
      <c r="F133" s="7">
        <f>MAX(F6:F125)</f>
        <v>51.129943502824858</v>
      </c>
      <c r="G133" s="7">
        <f>MAX(G6:G125)</f>
        <v>99.3</v>
      </c>
      <c r="H133" s="9">
        <f>MAX(H6:H125)</f>
        <v>70.25</v>
      </c>
      <c r="I133" s="7">
        <f>MAX(I6:I125)</f>
        <v>83.472260371553148</v>
      </c>
      <c r="J133" s="7">
        <f>MAX(J6:J125)</f>
        <v>2.34</v>
      </c>
      <c r="K133" s="9"/>
      <c r="L133" s="7">
        <f t="shared" ref="L133:R133" si="9">MAX(L6:L125)</f>
        <v>12.123745819397993</v>
      </c>
      <c r="M133" s="11">
        <f t="shared" si="9"/>
        <v>5.457380468994268</v>
      </c>
      <c r="N133" s="7">
        <f t="shared" si="9"/>
        <v>57.91872788571429</v>
      </c>
      <c r="O133" s="9">
        <f t="shared" si="9"/>
        <v>169.54656709347486</v>
      </c>
      <c r="P133" s="7">
        <f t="shared" si="9"/>
        <v>63.047240569627988</v>
      </c>
      <c r="Q133" s="9">
        <f t="shared" si="9"/>
        <v>300.07</v>
      </c>
      <c r="R133" s="9">
        <f t="shared" si="9"/>
        <v>200.54</v>
      </c>
      <c r="S133" s="9"/>
    </row>
    <row r="134" spans="1:21">
      <c r="A134" s="4" t="s">
        <v>154</v>
      </c>
      <c r="B134" s="4"/>
      <c r="F134" s="7">
        <f>AVERAGE(F6:F125)</f>
        <v>43.93024742316765</v>
      </c>
      <c r="G134" s="7">
        <f>AVERAGE(G6:G125)</f>
        <v>97.741525423728831</v>
      </c>
      <c r="H134" s="9">
        <f>AVERAGE(H6:H125)</f>
        <v>59.996333333333361</v>
      </c>
      <c r="I134" s="7">
        <f>AVERAGE(I6:I125)</f>
        <v>82.352485667798589</v>
      </c>
      <c r="J134" s="7">
        <f>AVERAGE(J6:J125)</f>
        <v>1.7244859813084112</v>
      </c>
      <c r="K134" s="9"/>
      <c r="L134" s="7">
        <f t="shared" ref="L134:R134" si="10">AVERAGE(L6:L125)</f>
        <v>10.238636441245006</v>
      </c>
      <c r="M134" s="11">
        <f t="shared" si="10"/>
        <v>4.7928253695624043</v>
      </c>
      <c r="N134" s="7">
        <f t="shared" si="10"/>
        <v>49.4526888975482</v>
      </c>
      <c r="O134" s="9">
        <f t="shared" si="10"/>
        <v>130.75619849379828</v>
      </c>
      <c r="P134" s="7">
        <f t="shared" si="10"/>
        <v>49.160404541860224</v>
      </c>
      <c r="Q134" s="9">
        <f t="shared" si="10"/>
        <v>119.38486956521737</v>
      </c>
      <c r="R134" s="9">
        <f t="shared" si="10"/>
        <v>153.30366666666663</v>
      </c>
      <c r="S134" s="9"/>
    </row>
    <row r="135" spans="1:21">
      <c r="A135" s="4" t="s">
        <v>155</v>
      </c>
      <c r="B135" s="4"/>
      <c r="F135" s="7">
        <f>STDEV(F6:F125)</f>
        <v>2.8196378988207336</v>
      </c>
      <c r="G135" s="7">
        <f>STDEV(G6:G125)</f>
        <v>0.92683878416191734</v>
      </c>
      <c r="H135" s="9">
        <f>STDEV(H6:H125)</f>
        <v>3.7607595633059558</v>
      </c>
      <c r="I135" s="7">
        <f>STDEV(I6:I125)</f>
        <v>0.60515675260164026</v>
      </c>
      <c r="J135" s="7">
        <f>STDEV(J6:J125)</f>
        <v>0.19006569690832001</v>
      </c>
      <c r="K135" s="9"/>
      <c r="L135" s="7">
        <f t="shared" ref="L135:R135" si="11">STDEV(L6:L125)</f>
        <v>0.63582931823158428</v>
      </c>
      <c r="M135" s="11">
        <f t="shared" si="11"/>
        <v>0.25745813250380523</v>
      </c>
      <c r="N135" s="7">
        <f t="shared" si="11"/>
        <v>3.1978103842072798</v>
      </c>
      <c r="O135" s="9">
        <f t="shared" si="11"/>
        <v>15.559540880057472</v>
      </c>
      <c r="P135" s="7">
        <f t="shared" si="11"/>
        <v>6.2923583045449138</v>
      </c>
      <c r="Q135" s="9">
        <f t="shared" si="11"/>
        <v>67.338623381283597</v>
      </c>
      <c r="R135" s="9">
        <f t="shared" si="11"/>
        <v>16.683034150279493</v>
      </c>
      <c r="S135" s="9"/>
    </row>
    <row r="136" spans="1:21">
      <c r="A136" s="4" t="s">
        <v>156</v>
      </c>
      <c r="B136" s="4"/>
      <c r="F136" s="7">
        <f>100*F135/F134</f>
        <v>6.4184430186790413</v>
      </c>
      <c r="G136" s="7">
        <f t="shared" ref="G136:J136" si="12">100*G135/G134</f>
        <v>0.94825487953445375</v>
      </c>
      <c r="H136" s="9">
        <f t="shared" si="12"/>
        <v>6.2683156692452666</v>
      </c>
      <c r="I136" s="7">
        <f t="shared" si="12"/>
        <v>0.73483726410248262</v>
      </c>
      <c r="J136" s="7">
        <f t="shared" si="12"/>
        <v>11.021585502487666</v>
      </c>
      <c r="K136" s="9"/>
      <c r="L136" s="7">
        <f t="shared" ref="L136:R136" si="13">100*L135/L134</f>
        <v>6.2100976226700375</v>
      </c>
      <c r="M136" s="11">
        <f t="shared" si="13"/>
        <v>5.3717403129025696</v>
      </c>
      <c r="N136" s="7">
        <f t="shared" si="13"/>
        <v>6.4664034565081527</v>
      </c>
      <c r="O136" s="9">
        <f t="shared" si="13"/>
        <v>11.899658340706086</v>
      </c>
      <c r="P136" s="7">
        <f t="shared" si="13"/>
        <v>12.799647120859133</v>
      </c>
      <c r="Q136" s="9">
        <f t="shared" si="13"/>
        <v>56.404654648885774</v>
      </c>
      <c r="R136" s="9">
        <f t="shared" si="13"/>
        <v>10.882345160441584</v>
      </c>
      <c r="S136" s="9"/>
    </row>
    <row r="137" spans="1:21">
      <c r="F137" s="7"/>
      <c r="G137" s="7"/>
      <c r="H137" s="9"/>
      <c r="I137" s="7"/>
      <c r="J137" s="7"/>
      <c r="K137" s="9"/>
      <c r="L137" s="7"/>
      <c r="M137" s="11"/>
      <c r="N137" s="7"/>
      <c r="O137" s="9"/>
      <c r="P137" s="7"/>
      <c r="Q137" s="9"/>
      <c r="R137" s="9"/>
      <c r="S137" s="9"/>
    </row>
    <row r="138" spans="1:21">
      <c r="A138" s="4" t="s">
        <v>159</v>
      </c>
      <c r="B138" s="4"/>
      <c r="F138" s="7"/>
      <c r="G138" s="7"/>
      <c r="H138" s="9"/>
      <c r="I138" s="7"/>
      <c r="J138" s="7"/>
      <c r="K138" s="9"/>
      <c r="L138" s="7"/>
      <c r="M138" s="11"/>
      <c r="N138" s="7"/>
      <c r="O138" s="9"/>
      <c r="P138" s="7"/>
      <c r="Q138" s="9"/>
      <c r="R138" s="9"/>
      <c r="S138" s="9"/>
    </row>
    <row r="139" spans="1:21">
      <c r="A139" s="4" t="s">
        <v>160</v>
      </c>
      <c r="B139" s="4"/>
      <c r="F139" s="7"/>
      <c r="G139" s="7"/>
      <c r="H139" s="9"/>
      <c r="I139" s="7"/>
      <c r="J139" s="7"/>
      <c r="K139" s="9"/>
      <c r="L139" s="7"/>
      <c r="M139" s="11"/>
      <c r="N139" s="7"/>
      <c r="O139" s="9"/>
      <c r="P139" s="7"/>
      <c r="Q139" s="9"/>
      <c r="R139" s="9"/>
      <c r="S139" s="9"/>
    </row>
    <row r="140" spans="1:21">
      <c r="A140" s="4" t="s">
        <v>161</v>
      </c>
      <c r="B140" s="4"/>
      <c r="F140" s="7"/>
      <c r="G140" s="7"/>
      <c r="H140" s="9"/>
      <c r="I140" s="7"/>
      <c r="J140" s="7"/>
      <c r="K140" s="9"/>
      <c r="L140" s="7"/>
      <c r="M140" s="11"/>
      <c r="N140" s="7"/>
      <c r="O140" s="9"/>
      <c r="P140" s="7"/>
      <c r="Q140" s="9"/>
      <c r="R140" s="9"/>
      <c r="S140" s="9"/>
    </row>
    <row r="141" spans="1:21">
      <c r="F141" s="7"/>
      <c r="G141" s="7"/>
      <c r="H141" s="9"/>
      <c r="I141" s="7"/>
      <c r="J141" s="7"/>
      <c r="K141" s="9"/>
      <c r="L141" s="7"/>
      <c r="M141" s="11"/>
      <c r="N141" s="7"/>
      <c r="O141" s="9"/>
      <c r="P141" s="7"/>
      <c r="Q141" s="9"/>
      <c r="R141" s="9"/>
      <c r="S141" s="9"/>
    </row>
    <row r="142" spans="1:21">
      <c r="A142" s="4" t="s">
        <v>167</v>
      </c>
      <c r="B142" s="4"/>
      <c r="F142" s="7"/>
      <c r="G142" s="7"/>
      <c r="H142" s="9"/>
      <c r="I142" s="7"/>
      <c r="J142" s="7"/>
      <c r="K142" s="9"/>
      <c r="L142" s="7"/>
      <c r="M142" s="11"/>
      <c r="N142" s="7"/>
      <c r="O142" s="9"/>
      <c r="P142" s="7"/>
      <c r="Q142" s="9"/>
      <c r="R142" s="9"/>
      <c r="S142" s="9"/>
    </row>
    <row r="143" spans="1:21">
      <c r="F143" s="7"/>
      <c r="G143" s="7"/>
      <c r="H143" s="9"/>
      <c r="I143" s="7"/>
      <c r="J143" s="7"/>
      <c r="K143" s="9"/>
      <c r="L143" s="7"/>
      <c r="M143" s="11"/>
      <c r="N143" s="7"/>
      <c r="O143" s="9"/>
      <c r="P143" s="7"/>
      <c r="Q143" s="9"/>
      <c r="R143" s="9"/>
      <c r="S143" s="9"/>
    </row>
    <row r="144" spans="1:21">
      <c r="A144" s="4" t="s">
        <v>157</v>
      </c>
      <c r="B144" s="4"/>
      <c r="F144" s="7">
        <f>F134-3*F135</f>
        <v>35.471333726705453</v>
      </c>
      <c r="G144" s="7">
        <f t="shared" ref="G144:J144" si="14">G134-3*G135</f>
        <v>94.961009071243083</v>
      </c>
      <c r="H144" s="9">
        <f t="shared" si="14"/>
        <v>48.714054643415494</v>
      </c>
      <c r="I144" s="7">
        <f t="shared" si="14"/>
        <v>80.537015409993671</v>
      </c>
      <c r="J144" s="7">
        <f t="shared" si="14"/>
        <v>1.1542888905834512</v>
      </c>
      <c r="K144" s="9"/>
      <c r="L144" s="7">
        <f t="shared" ref="L144:R144" si="15">L134-3*L135</f>
        <v>8.3311484865502532</v>
      </c>
      <c r="M144" s="11">
        <f t="shared" si="15"/>
        <v>4.0204509720509884</v>
      </c>
      <c r="N144" s="7">
        <f t="shared" si="15"/>
        <v>39.85925774492636</v>
      </c>
      <c r="O144" s="9">
        <f t="shared" si="15"/>
        <v>84.077575853625859</v>
      </c>
      <c r="P144" s="7">
        <f t="shared" si="15"/>
        <v>30.283329628225481</v>
      </c>
      <c r="Q144" s="9">
        <f t="shared" si="15"/>
        <v>-82.631000578633433</v>
      </c>
      <c r="R144" s="9">
        <f t="shared" si="15"/>
        <v>103.25456421582815</v>
      </c>
      <c r="S144" s="9"/>
    </row>
    <row r="145" spans="1:19">
      <c r="A145" s="4" t="s">
        <v>158</v>
      </c>
      <c r="B145" s="4"/>
      <c r="F145" s="7">
        <f>F134+3*F135</f>
        <v>52.389161119629847</v>
      </c>
      <c r="G145" s="7">
        <f t="shared" ref="G145:J145" si="16">G134+3*G135</f>
        <v>100.52204177621458</v>
      </c>
      <c r="H145" s="9">
        <f t="shared" si="16"/>
        <v>71.278612023251227</v>
      </c>
      <c r="I145" s="7">
        <f t="shared" si="16"/>
        <v>84.167955925603508</v>
      </c>
      <c r="J145" s="7">
        <f t="shared" si="16"/>
        <v>2.2946830720333713</v>
      </c>
      <c r="K145" s="9"/>
      <c r="L145" s="7">
        <f t="shared" ref="L145:R145" si="17">L134+3*L135</f>
        <v>12.14612439593976</v>
      </c>
      <c r="M145" s="11">
        <f t="shared" si="17"/>
        <v>5.5651997670738202</v>
      </c>
      <c r="N145" s="7">
        <f t="shared" si="17"/>
        <v>59.046120050170039</v>
      </c>
      <c r="O145" s="9">
        <f t="shared" si="17"/>
        <v>177.4348211339707</v>
      </c>
      <c r="P145" s="7">
        <f t="shared" si="17"/>
        <v>68.037479455494974</v>
      </c>
      <c r="Q145" s="9">
        <f t="shared" si="17"/>
        <v>321.40073970906815</v>
      </c>
      <c r="R145" s="9">
        <f t="shared" si="17"/>
        <v>203.35276911750509</v>
      </c>
      <c r="S145" s="9"/>
    </row>
    <row r="146" spans="1:19">
      <c r="F146" s="7"/>
      <c r="G146" s="7"/>
      <c r="H146" s="9"/>
      <c r="I146" s="7"/>
      <c r="J146" s="7"/>
      <c r="K146" s="9"/>
      <c r="L146" s="7"/>
      <c r="M146" s="11"/>
      <c r="N146" s="7"/>
      <c r="O146" s="9"/>
      <c r="P146" s="7"/>
      <c r="Q146" s="9"/>
      <c r="R146" s="9"/>
      <c r="S146" s="9"/>
    </row>
    <row r="147" spans="1:19">
      <c r="F147" s="7"/>
      <c r="G147" s="7"/>
      <c r="H147" s="9"/>
      <c r="I147" s="7"/>
      <c r="J147" s="7"/>
      <c r="K147" s="9"/>
      <c r="L147" s="7"/>
      <c r="M147" s="11"/>
      <c r="N147" s="7"/>
      <c r="O147" s="9"/>
      <c r="P147" s="7"/>
      <c r="Q147" s="9"/>
      <c r="R147" s="9"/>
      <c r="S147" s="9"/>
    </row>
    <row r="148" spans="1:19">
      <c r="F148" s="7"/>
      <c r="G148" s="7"/>
      <c r="H148" s="9"/>
      <c r="I148" s="7"/>
      <c r="J148" s="7"/>
      <c r="K148" s="9"/>
      <c r="L148" s="7"/>
      <c r="M148" s="11"/>
      <c r="N148" s="7"/>
      <c r="O148" s="9"/>
      <c r="P148" s="7"/>
      <c r="Q148" s="9"/>
      <c r="R148" s="9"/>
      <c r="S148" s="9"/>
    </row>
    <row r="149" spans="1:19">
      <c r="F149" s="7"/>
      <c r="G149" s="7"/>
      <c r="H149" s="9"/>
      <c r="I149" s="7"/>
      <c r="J149" s="7"/>
      <c r="K149" s="9"/>
      <c r="L149" s="7"/>
      <c r="M149" s="11"/>
      <c r="N149" s="7"/>
      <c r="O149" s="9"/>
      <c r="P149" s="7"/>
      <c r="Q149" s="9"/>
      <c r="R149" s="9"/>
      <c r="S149" s="9"/>
    </row>
    <row r="150" spans="1:19">
      <c r="F150" s="7"/>
      <c r="G150" s="7"/>
      <c r="H150" s="9"/>
      <c r="I150" s="7"/>
      <c r="J150" s="7"/>
      <c r="K150" s="9"/>
      <c r="L150" s="7"/>
      <c r="M150" s="11"/>
      <c r="N150" s="7"/>
      <c r="O150" s="9"/>
      <c r="P150" s="7"/>
      <c r="Q150" s="9"/>
      <c r="R150" s="9"/>
      <c r="S150" s="9"/>
    </row>
    <row r="151" spans="1:19">
      <c r="F151" s="7"/>
      <c r="G151" s="7"/>
      <c r="H151" s="9"/>
      <c r="I151" s="7"/>
      <c r="J151" s="7"/>
      <c r="K151" s="9"/>
      <c r="L151" s="7"/>
      <c r="M151" s="11"/>
      <c r="N151" s="7"/>
      <c r="O151" s="9"/>
      <c r="P151" s="7"/>
      <c r="Q151" s="9"/>
      <c r="R151" s="9"/>
      <c r="S151" s="9"/>
    </row>
    <row r="152" spans="1:19">
      <c r="F152" s="7"/>
      <c r="G152" s="7"/>
      <c r="H152" s="9"/>
      <c r="I152" s="7"/>
      <c r="J152" s="7"/>
      <c r="K152" s="9"/>
      <c r="L152" s="7"/>
      <c r="M152" s="11"/>
      <c r="N152" s="7"/>
      <c r="O152" s="9"/>
      <c r="P152" s="7"/>
      <c r="Q152" s="9"/>
      <c r="R152" s="9"/>
      <c r="S152" s="9"/>
    </row>
    <row r="153" spans="1:19">
      <c r="F153" s="7"/>
      <c r="G153" s="7"/>
      <c r="H153" s="9"/>
      <c r="I153" s="7"/>
      <c r="J153" s="7"/>
      <c r="K153" s="9"/>
      <c r="L153" s="7"/>
      <c r="M153" s="11"/>
      <c r="N153" s="7"/>
      <c r="O153" s="9"/>
      <c r="P153" s="7"/>
      <c r="Q153" s="9"/>
      <c r="R153" s="9"/>
      <c r="S153" s="9"/>
    </row>
    <row r="154" spans="1:19">
      <c r="F154" s="7"/>
      <c r="G154" s="7"/>
      <c r="H154" s="9"/>
      <c r="I154" s="7"/>
      <c r="J154" s="7"/>
      <c r="K154" s="9"/>
      <c r="L154" s="7"/>
      <c r="M154" s="11"/>
      <c r="N154" s="7"/>
      <c r="O154" s="9"/>
      <c r="P154" s="7"/>
      <c r="Q154" s="9"/>
      <c r="R154" s="9"/>
      <c r="S154" s="9"/>
    </row>
    <row r="155" spans="1:19">
      <c r="F155" s="7"/>
      <c r="G155" s="7"/>
      <c r="H155" s="9"/>
      <c r="I155" s="7"/>
      <c r="J155" s="7"/>
      <c r="K155" s="9"/>
      <c r="L155" s="7"/>
      <c r="M155" s="11"/>
      <c r="N155" s="7"/>
      <c r="O155" s="9"/>
      <c r="P155" s="7"/>
      <c r="Q155" s="9"/>
      <c r="R155" s="9"/>
      <c r="S155" s="9"/>
    </row>
    <row r="156" spans="1:19">
      <c r="F156" s="7"/>
      <c r="G156" s="7"/>
      <c r="H156" s="9"/>
      <c r="I156" s="7"/>
      <c r="J156" s="7"/>
      <c r="K156" s="9"/>
      <c r="L156" s="7"/>
      <c r="M156" s="11"/>
      <c r="N156" s="7"/>
      <c r="O156" s="9"/>
      <c r="P156" s="7"/>
      <c r="Q156" s="9"/>
      <c r="R156" s="9"/>
      <c r="S156" s="9"/>
    </row>
    <row r="157" spans="1:19">
      <c r="F157" s="7"/>
      <c r="G157" s="7"/>
      <c r="H157" s="9"/>
      <c r="I157" s="7"/>
      <c r="J157" s="7"/>
      <c r="K157" s="9"/>
      <c r="L157" s="7"/>
      <c r="M157" s="11"/>
      <c r="N157" s="7"/>
      <c r="O157" s="9"/>
      <c r="P157" s="7"/>
      <c r="Q157" s="9"/>
      <c r="R157" s="9"/>
      <c r="S157" s="9"/>
    </row>
    <row r="158" spans="1:19">
      <c r="F158" s="7"/>
      <c r="G158" s="7"/>
      <c r="H158" s="9"/>
      <c r="I158" s="7"/>
      <c r="J158" s="7"/>
      <c r="K158" s="9"/>
      <c r="L158" s="7"/>
      <c r="M158" s="11"/>
      <c r="N158" s="7"/>
      <c r="O158" s="9"/>
      <c r="P158" s="7"/>
      <c r="Q158" s="9"/>
      <c r="R158" s="9"/>
      <c r="S158" s="9"/>
    </row>
    <row r="159" spans="1:19">
      <c r="F159" s="7"/>
      <c r="G159" s="7"/>
      <c r="H159" s="9"/>
      <c r="I159" s="7"/>
      <c r="J159" s="7"/>
      <c r="K159" s="9"/>
      <c r="L159" s="7"/>
      <c r="M159" s="11"/>
      <c r="N159" s="7"/>
      <c r="O159" s="9"/>
      <c r="P159" s="7"/>
      <c r="Q159" s="9"/>
      <c r="R159" s="9"/>
      <c r="S159" s="9"/>
    </row>
    <row r="160" spans="1:19">
      <c r="F160" s="7"/>
      <c r="G160" s="7"/>
      <c r="H160" s="9"/>
      <c r="I160" s="7"/>
      <c r="J160" s="7"/>
      <c r="K160" s="9"/>
      <c r="L160" s="7"/>
      <c r="M160" s="11"/>
      <c r="N160" s="7"/>
      <c r="O160" s="9"/>
      <c r="P160" s="7"/>
      <c r="Q160" s="9"/>
      <c r="R160" s="9"/>
      <c r="S160" s="9"/>
    </row>
    <row r="161" spans="6:19">
      <c r="F161" s="7"/>
      <c r="G161" s="7"/>
      <c r="H161" s="9"/>
      <c r="I161" s="7"/>
      <c r="J161" s="7"/>
      <c r="K161" s="9"/>
      <c r="L161" s="7"/>
      <c r="M161" s="11"/>
      <c r="N161" s="7"/>
      <c r="O161" s="9"/>
      <c r="P161" s="7"/>
      <c r="Q161" s="9"/>
      <c r="R161" s="9"/>
      <c r="S161" s="9"/>
    </row>
    <row r="162" spans="6:19">
      <c r="F162" s="7"/>
      <c r="G162" s="7"/>
      <c r="H162" s="9"/>
      <c r="I162" s="7"/>
      <c r="J162" s="7"/>
      <c r="K162" s="9"/>
      <c r="L162" s="7"/>
      <c r="M162" s="11"/>
      <c r="N162" s="7"/>
      <c r="O162" s="9"/>
      <c r="P162" s="7"/>
      <c r="Q162" s="9"/>
      <c r="R162" s="9"/>
      <c r="S162" s="9"/>
    </row>
    <row r="163" spans="6:19">
      <c r="F163" s="7"/>
      <c r="G163" s="7"/>
      <c r="H163" s="9"/>
      <c r="I163" s="7"/>
      <c r="J163" s="7"/>
      <c r="K163" s="9"/>
      <c r="L163" s="7"/>
      <c r="M163" s="11"/>
      <c r="N163" s="7"/>
      <c r="O163" s="9"/>
      <c r="P163" s="7"/>
      <c r="Q163" s="9"/>
      <c r="R163" s="9"/>
      <c r="S163" s="9"/>
    </row>
    <row r="164" spans="6:19">
      <c r="F164" s="7"/>
      <c r="G164" s="7"/>
      <c r="H164" s="9"/>
      <c r="I164" s="7"/>
      <c r="J164" s="7"/>
      <c r="K164" s="9"/>
      <c r="L164" s="7"/>
      <c r="M164" s="11"/>
      <c r="N164" s="7"/>
      <c r="O164" s="9"/>
      <c r="P164" s="7"/>
      <c r="Q164" s="9"/>
      <c r="R164" s="9"/>
      <c r="S164" s="9"/>
    </row>
    <row r="165" spans="6:19">
      <c r="F165" s="7"/>
      <c r="G165" s="7"/>
      <c r="H165" s="9"/>
      <c r="I165" s="7"/>
      <c r="J165" s="7"/>
      <c r="K165" s="9"/>
      <c r="L165" s="7"/>
      <c r="M165" s="11"/>
      <c r="N165" s="7"/>
      <c r="O165" s="9"/>
      <c r="P165" s="7"/>
      <c r="Q165" s="9"/>
      <c r="R165" s="9"/>
      <c r="S165" s="9"/>
    </row>
    <row r="166" spans="6:19">
      <c r="F166" s="7"/>
      <c r="G166" s="7"/>
      <c r="H166" s="9"/>
      <c r="I166" s="7"/>
      <c r="J166" s="7"/>
      <c r="K166" s="9"/>
      <c r="L166" s="7"/>
      <c r="M166" s="11"/>
      <c r="N166" s="7"/>
      <c r="O166" s="9"/>
      <c r="P166" s="7"/>
      <c r="Q166" s="9"/>
      <c r="R166" s="9"/>
      <c r="S166" s="9"/>
    </row>
    <row r="167" spans="6:19">
      <c r="F167" s="7"/>
      <c r="G167" s="7"/>
      <c r="H167" s="9"/>
      <c r="I167" s="7"/>
      <c r="J167" s="7"/>
      <c r="K167" s="9"/>
      <c r="L167" s="7"/>
      <c r="M167" s="11"/>
      <c r="N167" s="7"/>
      <c r="O167" s="9"/>
      <c r="P167" s="7"/>
      <c r="Q167" s="9"/>
      <c r="R167" s="9"/>
      <c r="S167" s="9"/>
    </row>
    <row r="168" spans="6:19">
      <c r="F168" s="7"/>
      <c r="G168" s="7"/>
      <c r="H168" s="9"/>
      <c r="I168" s="7"/>
      <c r="J168" s="7"/>
      <c r="K168" s="9"/>
      <c r="L168" s="7"/>
      <c r="M168" s="11"/>
      <c r="N168" s="7"/>
      <c r="O168" s="9"/>
      <c r="P168" s="7"/>
      <c r="Q168" s="9"/>
      <c r="R168" s="9"/>
      <c r="S168" s="9"/>
    </row>
    <row r="169" spans="6:19">
      <c r="F169" s="7"/>
      <c r="G169" s="7"/>
      <c r="H169" s="9"/>
      <c r="I169" s="7"/>
      <c r="J169" s="7"/>
      <c r="K169" s="9"/>
      <c r="L169" s="7"/>
      <c r="M169" s="11"/>
      <c r="N169" s="7"/>
      <c r="O169" s="9"/>
      <c r="P169" s="7"/>
      <c r="Q169" s="9"/>
      <c r="R169" s="9"/>
      <c r="S169" s="9"/>
    </row>
    <row r="170" spans="6:19">
      <c r="F170" s="7"/>
      <c r="G170" s="7"/>
      <c r="H170" s="9"/>
      <c r="I170" s="7"/>
      <c r="J170" s="7"/>
      <c r="K170" s="9"/>
      <c r="L170" s="7"/>
      <c r="M170" s="11"/>
      <c r="N170" s="7"/>
      <c r="O170" s="9"/>
      <c r="P170" s="7"/>
      <c r="Q170" s="9"/>
      <c r="R170" s="9"/>
      <c r="S170" s="9"/>
    </row>
    <row r="171" spans="6:19">
      <c r="F171" s="7"/>
      <c r="G171" s="7"/>
      <c r="H171" s="9"/>
      <c r="I171" s="7"/>
      <c r="J171" s="7"/>
      <c r="K171" s="9"/>
      <c r="L171" s="7"/>
      <c r="M171" s="11"/>
      <c r="N171" s="7"/>
      <c r="O171" s="9"/>
      <c r="P171" s="7"/>
      <c r="Q171" s="9"/>
      <c r="R171" s="9"/>
      <c r="S171" s="9"/>
    </row>
    <row r="172" spans="6:19">
      <c r="F172" s="7"/>
      <c r="G172" s="7"/>
      <c r="H172" s="9"/>
      <c r="I172" s="7"/>
      <c r="J172" s="7"/>
      <c r="K172" s="9"/>
      <c r="L172" s="7"/>
      <c r="M172" s="11"/>
      <c r="N172" s="7"/>
      <c r="O172" s="9"/>
      <c r="P172" s="7"/>
      <c r="Q172" s="9"/>
      <c r="R172" s="9"/>
      <c r="S172" s="9"/>
    </row>
    <row r="173" spans="6:19">
      <c r="F173" s="7"/>
      <c r="G173" s="7"/>
      <c r="H173" s="9"/>
      <c r="I173" s="7"/>
      <c r="J173" s="7"/>
      <c r="K173" s="9"/>
      <c r="L173" s="7"/>
      <c r="M173" s="11"/>
      <c r="N173" s="7"/>
      <c r="O173" s="9"/>
      <c r="P173" s="7"/>
      <c r="Q173" s="9"/>
      <c r="R173" s="9"/>
      <c r="S173" s="9"/>
    </row>
    <row r="174" spans="6:19">
      <c r="F174" s="7"/>
      <c r="G174" s="7"/>
      <c r="H174" s="9"/>
      <c r="I174" s="7"/>
      <c r="J174" s="7"/>
      <c r="K174" s="9"/>
      <c r="L174" s="7"/>
      <c r="M174" s="11"/>
      <c r="N174" s="7"/>
      <c r="O174" s="9"/>
      <c r="P174" s="7"/>
      <c r="Q174" s="9"/>
      <c r="R174" s="9"/>
      <c r="S174" s="9"/>
    </row>
    <row r="175" spans="6:19">
      <c r="F175" s="7"/>
      <c r="G175" s="7"/>
      <c r="H175" s="9"/>
      <c r="I175" s="7"/>
      <c r="J175" s="7"/>
      <c r="K175" s="9"/>
      <c r="L175" s="7"/>
      <c r="M175" s="11"/>
      <c r="N175" s="7"/>
      <c r="O175" s="9"/>
      <c r="P175" s="7"/>
      <c r="Q175" s="9"/>
      <c r="R175" s="9"/>
      <c r="S175" s="9"/>
    </row>
    <row r="176" spans="6:19">
      <c r="F176" s="7"/>
      <c r="G176" s="7"/>
      <c r="H176" s="9"/>
      <c r="I176" s="7"/>
      <c r="J176" s="7"/>
      <c r="K176" s="9"/>
      <c r="L176" s="7"/>
      <c r="M176" s="11"/>
      <c r="N176" s="7"/>
      <c r="O176" s="9"/>
      <c r="P176" s="7"/>
      <c r="Q176" s="9"/>
      <c r="R176" s="9"/>
      <c r="S176" s="9"/>
    </row>
    <row r="177" spans="6:19">
      <c r="F177" s="7"/>
      <c r="G177" s="7"/>
      <c r="H177" s="9"/>
      <c r="I177" s="7"/>
      <c r="J177" s="7"/>
      <c r="K177" s="9"/>
      <c r="L177" s="7"/>
      <c r="M177" s="11"/>
      <c r="N177" s="7"/>
      <c r="O177" s="9"/>
      <c r="P177" s="7"/>
      <c r="Q177" s="9"/>
      <c r="R177" s="9"/>
      <c r="S177" s="9"/>
    </row>
    <row r="178" spans="6:19">
      <c r="F178" s="7"/>
      <c r="G178" s="7"/>
      <c r="H178" s="9"/>
      <c r="I178" s="7"/>
      <c r="J178" s="7"/>
      <c r="K178" s="9"/>
      <c r="L178" s="7"/>
      <c r="M178" s="11"/>
      <c r="N178" s="7"/>
      <c r="O178" s="9"/>
      <c r="P178" s="7"/>
      <c r="Q178" s="9"/>
      <c r="R178" s="9"/>
      <c r="S178" s="9"/>
    </row>
    <row r="179" spans="6:19">
      <c r="F179" s="7"/>
      <c r="G179" s="7"/>
      <c r="H179" s="9"/>
      <c r="I179" s="7"/>
      <c r="J179" s="7"/>
      <c r="K179" s="9"/>
      <c r="L179" s="7"/>
      <c r="M179" s="11"/>
      <c r="N179" s="7"/>
      <c r="O179" s="9"/>
      <c r="P179" s="7"/>
      <c r="Q179" s="9"/>
      <c r="R179" s="9"/>
      <c r="S179" s="9"/>
    </row>
    <row r="180" spans="6:19">
      <c r="F180" s="7"/>
      <c r="G180" s="7"/>
      <c r="H180" s="9"/>
      <c r="I180" s="7"/>
      <c r="J180" s="7"/>
      <c r="K180" s="9"/>
      <c r="L180" s="7"/>
      <c r="M180" s="11"/>
      <c r="N180" s="7"/>
      <c r="O180" s="9"/>
      <c r="P180" s="7"/>
      <c r="Q180" s="9"/>
      <c r="R180" s="9"/>
      <c r="S180" s="9"/>
    </row>
    <row r="181" spans="6:19">
      <c r="F181" s="7"/>
      <c r="G181" s="7"/>
      <c r="H181" s="9"/>
      <c r="I181" s="7"/>
      <c r="J181" s="7"/>
      <c r="K181" s="9"/>
      <c r="L181" s="7"/>
      <c r="M181" s="11"/>
      <c r="N181" s="7"/>
      <c r="O181" s="9"/>
      <c r="P181" s="7"/>
      <c r="Q181" s="9"/>
      <c r="R181" s="9"/>
      <c r="S181" s="9"/>
    </row>
    <row r="182" spans="6:19">
      <c r="F182" s="7"/>
      <c r="G182" s="7"/>
      <c r="H182" s="9"/>
      <c r="I182" s="7"/>
      <c r="J182" s="7"/>
      <c r="K182" s="9"/>
      <c r="L182" s="7"/>
      <c r="M182" s="11"/>
      <c r="N182" s="7"/>
      <c r="O182" s="9"/>
      <c r="P182" s="7"/>
      <c r="Q182" s="9"/>
      <c r="R182" s="9"/>
      <c r="S182" s="9"/>
    </row>
    <row r="183" spans="6:19">
      <c r="F183" s="7"/>
      <c r="G183" s="7"/>
      <c r="H183" s="9"/>
      <c r="I183" s="7"/>
      <c r="J183" s="7"/>
      <c r="K183" s="9"/>
      <c r="L183" s="7"/>
      <c r="M183" s="11"/>
      <c r="N183" s="7"/>
      <c r="O183" s="9"/>
      <c r="P183" s="7"/>
      <c r="Q183" s="9"/>
      <c r="R183" s="9"/>
      <c r="S183" s="9"/>
    </row>
    <row r="184" spans="6:19">
      <c r="F184" s="7"/>
      <c r="G184" s="7"/>
      <c r="H184" s="9"/>
      <c r="I184" s="7"/>
      <c r="J184" s="7"/>
      <c r="K184" s="9"/>
      <c r="L184" s="7"/>
      <c r="M184" s="11"/>
      <c r="N184" s="7"/>
      <c r="O184" s="9"/>
      <c r="P184" s="7"/>
      <c r="Q184" s="9"/>
      <c r="R184" s="9"/>
      <c r="S184" s="9"/>
    </row>
    <row r="185" spans="6:19">
      <c r="F185" s="7"/>
      <c r="G185" s="7"/>
      <c r="H185" s="9"/>
      <c r="I185" s="7"/>
      <c r="J185" s="7"/>
      <c r="K185" s="9"/>
      <c r="L185" s="7"/>
      <c r="M185" s="11"/>
      <c r="N185" s="7"/>
      <c r="O185" s="9"/>
      <c r="P185" s="7"/>
      <c r="Q185" s="9"/>
      <c r="R185" s="9"/>
      <c r="S185" s="9"/>
    </row>
    <row r="186" spans="6:19">
      <c r="F186" s="7"/>
      <c r="G186" s="7"/>
      <c r="H186" s="9"/>
      <c r="I186" s="7"/>
      <c r="J186" s="7"/>
      <c r="K186" s="9"/>
      <c r="L186" s="7"/>
      <c r="M186" s="11"/>
      <c r="N186" s="7"/>
      <c r="O186" s="9"/>
      <c r="P186" s="7"/>
      <c r="Q186" s="9"/>
      <c r="R186" s="9"/>
      <c r="S186" s="9"/>
    </row>
    <row r="187" spans="6:19">
      <c r="F187" s="7"/>
      <c r="G187" s="7"/>
      <c r="H187" s="9"/>
      <c r="I187" s="7"/>
      <c r="J187" s="7"/>
      <c r="K187" s="9"/>
      <c r="L187" s="7"/>
      <c r="M187" s="11"/>
      <c r="N187" s="7"/>
      <c r="O187" s="9"/>
      <c r="P187" s="7"/>
      <c r="Q187" s="9"/>
      <c r="R187" s="9"/>
      <c r="S187" s="9"/>
    </row>
    <row r="188" spans="6:19">
      <c r="F188" s="7"/>
      <c r="G188" s="7"/>
      <c r="H188" s="9"/>
      <c r="I188" s="7"/>
      <c r="J188" s="7"/>
      <c r="K188" s="9"/>
      <c r="L188" s="7"/>
      <c r="M188" s="11"/>
      <c r="N188" s="7"/>
      <c r="O188" s="9"/>
      <c r="P188" s="7"/>
      <c r="Q188" s="9"/>
      <c r="R188" s="9"/>
      <c r="S188" s="9"/>
    </row>
    <row r="189" spans="6:19">
      <c r="F189" s="7"/>
      <c r="G189" s="7"/>
      <c r="H189" s="9"/>
      <c r="I189" s="7"/>
      <c r="J189" s="7"/>
      <c r="K189" s="9"/>
      <c r="L189" s="7"/>
      <c r="M189" s="11"/>
      <c r="N189" s="7"/>
      <c r="O189" s="9"/>
      <c r="P189" s="7"/>
      <c r="Q189" s="9"/>
      <c r="R189" s="9"/>
      <c r="S189" s="9"/>
    </row>
    <row r="190" spans="6:19">
      <c r="F190" s="7"/>
      <c r="G190" s="7"/>
      <c r="H190" s="9"/>
      <c r="I190" s="7"/>
      <c r="J190" s="7"/>
      <c r="K190" s="9"/>
      <c r="L190" s="7"/>
      <c r="M190" s="11"/>
      <c r="N190" s="7"/>
      <c r="O190" s="9"/>
      <c r="P190" s="7"/>
      <c r="Q190" s="9"/>
      <c r="R190" s="9"/>
      <c r="S190" s="9"/>
    </row>
    <row r="191" spans="6:19">
      <c r="F191" s="7"/>
      <c r="G191" s="7"/>
      <c r="H191" s="9"/>
      <c r="I191" s="7"/>
      <c r="J191" s="7"/>
      <c r="K191" s="9"/>
      <c r="L191" s="7"/>
      <c r="M191" s="11"/>
      <c r="N191" s="7"/>
      <c r="O191" s="9"/>
      <c r="P191" s="7"/>
      <c r="Q191" s="9"/>
      <c r="R191" s="9"/>
      <c r="S191" s="9"/>
    </row>
    <row r="192" spans="6:19">
      <c r="F192" s="7"/>
      <c r="G192" s="7"/>
      <c r="H192" s="9"/>
      <c r="I192" s="7"/>
      <c r="J192" s="7"/>
      <c r="K192" s="9"/>
      <c r="L192" s="7"/>
      <c r="M192" s="11"/>
      <c r="N192" s="7"/>
      <c r="O192" s="9"/>
      <c r="P192" s="7"/>
      <c r="Q192" s="9"/>
      <c r="R192" s="9"/>
      <c r="S192" s="9"/>
    </row>
    <row r="193" spans="6:19">
      <c r="F193" s="7"/>
      <c r="G193" s="7"/>
      <c r="H193" s="9"/>
      <c r="I193" s="7"/>
      <c r="J193" s="7"/>
      <c r="K193" s="9"/>
      <c r="L193" s="7"/>
      <c r="M193" s="11"/>
      <c r="N193" s="7"/>
      <c r="O193" s="9"/>
      <c r="P193" s="7"/>
      <c r="Q193" s="9"/>
      <c r="R193" s="9"/>
      <c r="S193" s="9"/>
    </row>
    <row r="194" spans="6:19">
      <c r="F194" s="7"/>
      <c r="G194" s="7"/>
      <c r="H194" s="9"/>
      <c r="I194" s="7"/>
      <c r="J194" s="7"/>
      <c r="K194" s="9"/>
      <c r="L194" s="7"/>
      <c r="M194" s="11"/>
      <c r="N194" s="7"/>
      <c r="O194" s="9"/>
      <c r="P194" s="7"/>
      <c r="Q194" s="9"/>
      <c r="R194" s="9"/>
      <c r="S194" s="9"/>
    </row>
    <row r="195" spans="6:19">
      <c r="F195" s="7"/>
      <c r="G195" s="7"/>
      <c r="H195" s="9"/>
      <c r="I195" s="7"/>
      <c r="J195" s="7"/>
      <c r="K195" s="9"/>
      <c r="L195" s="7"/>
      <c r="M195" s="11"/>
      <c r="N195" s="7"/>
      <c r="O195" s="9"/>
      <c r="P195" s="7"/>
      <c r="Q195" s="9"/>
      <c r="R195" s="9"/>
      <c r="S195" s="9"/>
    </row>
    <row r="196" spans="6:19">
      <c r="F196" s="7"/>
      <c r="G196" s="7"/>
      <c r="H196" s="9"/>
      <c r="I196" s="7"/>
      <c r="J196" s="7"/>
      <c r="K196" s="9"/>
      <c r="L196" s="7"/>
      <c r="M196" s="11"/>
      <c r="N196" s="7"/>
      <c r="O196" s="9"/>
      <c r="P196" s="7"/>
      <c r="Q196" s="9"/>
      <c r="R196" s="9"/>
      <c r="S196" s="9"/>
    </row>
    <row r="197" spans="6:19">
      <c r="F197" s="7"/>
      <c r="G197" s="7"/>
      <c r="H197" s="9"/>
      <c r="I197" s="7"/>
      <c r="J197" s="7"/>
      <c r="K197" s="9"/>
      <c r="L197" s="7"/>
      <c r="M197" s="11"/>
      <c r="N197" s="7"/>
      <c r="O197" s="9"/>
      <c r="P197" s="7"/>
      <c r="Q197" s="9"/>
      <c r="R197" s="9"/>
      <c r="S197" s="9"/>
    </row>
    <row r="198" spans="6:19">
      <c r="F198" s="7"/>
      <c r="G198" s="7"/>
      <c r="H198" s="9"/>
      <c r="I198" s="7"/>
      <c r="J198" s="7"/>
      <c r="K198" s="9"/>
      <c r="L198" s="7"/>
      <c r="M198" s="11"/>
      <c r="N198" s="7"/>
      <c r="O198" s="9"/>
      <c r="P198" s="7"/>
      <c r="Q198" s="9"/>
      <c r="R198" s="9"/>
      <c r="S198" s="9"/>
    </row>
    <row r="199" spans="6:19">
      <c r="F199" s="7"/>
      <c r="G199" s="7"/>
      <c r="H199" s="9"/>
      <c r="I199" s="7"/>
      <c r="J199" s="7"/>
      <c r="K199" s="9"/>
      <c r="L199" s="7"/>
      <c r="M199" s="11"/>
      <c r="N199" s="7"/>
      <c r="O199" s="9"/>
      <c r="P199" s="7"/>
      <c r="Q199" s="9"/>
      <c r="R199" s="9"/>
      <c r="S199" s="9"/>
    </row>
    <row r="200" spans="6:19">
      <c r="F200" s="7"/>
      <c r="G200" s="7"/>
      <c r="H200" s="9"/>
      <c r="I200" s="7"/>
      <c r="J200" s="7"/>
      <c r="K200" s="9"/>
      <c r="L200" s="7"/>
      <c r="M200" s="11"/>
      <c r="N200" s="7"/>
      <c r="O200" s="9"/>
      <c r="P200" s="7"/>
      <c r="Q200" s="9"/>
      <c r="R200" s="9"/>
      <c r="S200" s="9"/>
    </row>
    <row r="201" spans="6:19">
      <c r="F201" s="7"/>
      <c r="G201" s="7"/>
      <c r="H201" s="9"/>
      <c r="I201" s="7"/>
      <c r="J201" s="7"/>
      <c r="K201" s="9"/>
      <c r="L201" s="7"/>
      <c r="M201" s="11"/>
      <c r="N201" s="7"/>
      <c r="O201" s="9"/>
      <c r="P201" s="7"/>
      <c r="Q201" s="9"/>
      <c r="R201" s="9"/>
      <c r="S201" s="9"/>
    </row>
    <row r="202" spans="6:19">
      <c r="F202" s="7"/>
      <c r="G202" s="7"/>
      <c r="H202" s="9"/>
      <c r="I202" s="7"/>
      <c r="J202" s="7"/>
      <c r="K202" s="9"/>
      <c r="L202" s="7"/>
      <c r="M202" s="11"/>
      <c r="N202" s="7"/>
      <c r="O202" s="9"/>
      <c r="P202" s="7"/>
      <c r="Q202" s="9"/>
      <c r="R202" s="9"/>
      <c r="S202" s="9"/>
    </row>
    <row r="203" spans="6:19">
      <c r="F203" s="7"/>
      <c r="G203" s="7"/>
      <c r="H203" s="9"/>
      <c r="I203" s="7"/>
      <c r="J203" s="7"/>
      <c r="K203" s="9"/>
      <c r="L203" s="7"/>
      <c r="M203" s="11"/>
      <c r="N203" s="7"/>
      <c r="O203" s="9"/>
      <c r="P203" s="7"/>
      <c r="Q203" s="9"/>
      <c r="R203" s="9"/>
      <c r="S203" s="9"/>
    </row>
    <row r="204" spans="6:19">
      <c r="F204" s="7"/>
      <c r="G204" s="7"/>
      <c r="H204" s="9"/>
      <c r="I204" s="7"/>
      <c r="J204" s="7"/>
      <c r="K204" s="9"/>
      <c r="L204" s="7"/>
      <c r="M204" s="11"/>
      <c r="N204" s="7"/>
      <c r="O204" s="9"/>
      <c r="P204" s="7"/>
      <c r="Q204" s="9"/>
      <c r="R204" s="9"/>
      <c r="S204" s="9"/>
    </row>
    <row r="205" spans="6:19">
      <c r="F205" s="7"/>
      <c r="G205" s="7"/>
      <c r="H205" s="9"/>
      <c r="I205" s="7"/>
      <c r="J205" s="7"/>
      <c r="K205" s="9"/>
      <c r="L205" s="7"/>
      <c r="M205" s="11"/>
      <c r="N205" s="7"/>
      <c r="O205" s="9"/>
      <c r="P205" s="7"/>
      <c r="Q205" s="9"/>
      <c r="R205" s="9"/>
      <c r="S205" s="9"/>
    </row>
    <row r="206" spans="6:19">
      <c r="F206" s="7"/>
      <c r="G206" s="7"/>
      <c r="H206" s="9"/>
      <c r="I206" s="7"/>
      <c r="J206" s="7"/>
      <c r="K206" s="9"/>
      <c r="L206" s="7"/>
      <c r="M206" s="11"/>
      <c r="N206" s="7"/>
      <c r="O206" s="9"/>
      <c r="P206" s="7"/>
      <c r="Q206" s="9"/>
      <c r="R206" s="9"/>
      <c r="S206" s="9"/>
    </row>
    <row r="207" spans="6:19">
      <c r="F207" s="7"/>
      <c r="G207" s="7"/>
      <c r="H207" s="9"/>
      <c r="I207" s="7"/>
      <c r="J207" s="7"/>
      <c r="K207" s="9"/>
      <c r="L207" s="7"/>
      <c r="M207" s="11"/>
      <c r="N207" s="7"/>
      <c r="O207" s="9"/>
      <c r="P207" s="7"/>
      <c r="Q207" s="9"/>
      <c r="R207" s="9"/>
      <c r="S207" s="9"/>
    </row>
    <row r="208" spans="6:19">
      <c r="F208" s="7"/>
      <c r="G208" s="7"/>
      <c r="H208" s="9"/>
      <c r="I208" s="7"/>
      <c r="J208" s="7"/>
      <c r="K208" s="9"/>
      <c r="L208" s="7"/>
      <c r="M208" s="11"/>
      <c r="N208" s="7"/>
      <c r="O208" s="9"/>
      <c r="P208" s="7"/>
      <c r="Q208" s="9"/>
      <c r="R208" s="9"/>
      <c r="S208" s="9"/>
    </row>
    <row r="209" spans="1:19">
      <c r="F209" s="7"/>
      <c r="G209" s="7"/>
      <c r="H209" s="9"/>
      <c r="I209" s="7"/>
      <c r="J209" s="7"/>
      <c r="K209" s="9"/>
      <c r="L209" s="7"/>
      <c r="M209" s="11"/>
      <c r="N209" s="7"/>
      <c r="O209" s="9"/>
      <c r="P209" s="7"/>
      <c r="Q209" s="9"/>
      <c r="R209" s="9"/>
      <c r="S209" s="9"/>
    </row>
    <row r="210" spans="1:19">
      <c r="F210" s="7"/>
      <c r="G210" s="7"/>
      <c r="H210" s="9"/>
      <c r="I210" s="7"/>
      <c r="J210" s="7"/>
      <c r="K210" s="9"/>
      <c r="L210" s="7"/>
      <c r="M210" s="11"/>
      <c r="N210" s="7"/>
      <c r="O210" s="9"/>
      <c r="P210" s="7"/>
      <c r="Q210" s="9"/>
      <c r="R210" s="9"/>
      <c r="S210" s="9"/>
    </row>
    <row r="211" spans="1:19">
      <c r="F211" s="7"/>
      <c r="G211" s="7"/>
      <c r="H211" s="9"/>
      <c r="I211" s="7"/>
      <c r="J211" s="7"/>
      <c r="K211" s="9"/>
      <c r="L211" s="7"/>
      <c r="M211" s="11"/>
      <c r="N211" s="7"/>
      <c r="O211" s="9"/>
      <c r="P211" s="7"/>
      <c r="Q211" s="9"/>
      <c r="R211" s="9"/>
      <c r="S211" s="9"/>
    </row>
    <row r="212" spans="1:19">
      <c r="F212" s="7"/>
      <c r="G212" s="7"/>
      <c r="H212" s="9"/>
      <c r="I212" s="7"/>
      <c r="J212" s="7"/>
      <c r="K212" s="9"/>
      <c r="L212" s="7"/>
      <c r="M212" s="11"/>
      <c r="N212" s="7"/>
      <c r="O212" s="9"/>
      <c r="P212" s="7"/>
      <c r="Q212" s="9"/>
      <c r="R212" s="9"/>
      <c r="S212" s="9"/>
    </row>
    <row r="213" spans="1:19">
      <c r="F213" s="7"/>
      <c r="G213" s="7"/>
      <c r="H213" s="9"/>
      <c r="I213" s="7"/>
      <c r="J213" s="7"/>
      <c r="K213" s="9"/>
      <c r="L213" s="7"/>
      <c r="M213" s="11"/>
      <c r="N213" s="7"/>
      <c r="O213" s="9"/>
      <c r="P213" s="7"/>
      <c r="Q213" s="9"/>
      <c r="R213" s="9"/>
      <c r="S213" s="9"/>
    </row>
    <row r="214" spans="1:19">
      <c r="F214" s="7"/>
      <c r="G214" s="7"/>
      <c r="H214" s="9"/>
      <c r="I214" s="7"/>
      <c r="J214" s="7"/>
      <c r="K214" s="9"/>
      <c r="L214" s="7"/>
      <c r="M214" s="11"/>
      <c r="N214" s="7"/>
      <c r="O214" s="9"/>
      <c r="P214" s="7"/>
      <c r="Q214" s="9"/>
      <c r="R214" s="9"/>
      <c r="S214" s="9"/>
    </row>
    <row r="215" spans="1:19">
      <c r="F215" s="7"/>
      <c r="G215" s="7"/>
      <c r="H215" s="9"/>
      <c r="I215" s="7"/>
      <c r="J215" s="7"/>
      <c r="K215" s="9"/>
      <c r="L215" s="7"/>
      <c r="M215" s="11"/>
      <c r="N215" s="7"/>
      <c r="O215" s="9"/>
      <c r="P215" s="7"/>
      <c r="Q215" s="9"/>
      <c r="R215" s="9"/>
      <c r="S215" s="9"/>
    </row>
    <row r="216" spans="1:19">
      <c r="F216" s="7"/>
      <c r="G216" s="7"/>
      <c r="H216" s="9"/>
      <c r="I216" s="7"/>
      <c r="J216" s="7"/>
      <c r="K216" s="9"/>
      <c r="L216" s="7"/>
      <c r="M216" s="11"/>
      <c r="N216" s="7"/>
      <c r="O216" s="9"/>
      <c r="P216" s="7"/>
      <c r="Q216" s="9"/>
      <c r="R216" s="9"/>
      <c r="S216" s="9"/>
    </row>
    <row r="217" spans="1:19">
      <c r="F217" s="7"/>
      <c r="G217" s="7"/>
      <c r="H217" s="9"/>
      <c r="I217" s="7"/>
      <c r="J217" s="7"/>
      <c r="K217" s="9"/>
      <c r="L217" s="7"/>
      <c r="M217" s="11"/>
      <c r="N217" s="7"/>
      <c r="O217" s="9"/>
      <c r="P217" s="7"/>
      <c r="Q217" s="9"/>
      <c r="R217" s="9"/>
      <c r="S217" s="9"/>
    </row>
    <row r="218" spans="1:19">
      <c r="F218" s="7"/>
      <c r="G218" s="7"/>
      <c r="H218" s="9"/>
      <c r="I218" s="7"/>
      <c r="J218" s="7"/>
      <c r="K218" s="9"/>
      <c r="L218" s="7"/>
      <c r="M218" s="11"/>
      <c r="N218" s="7"/>
      <c r="O218" s="9"/>
      <c r="P218" s="7"/>
      <c r="Q218" s="9"/>
      <c r="R218" s="9"/>
      <c r="S218" s="9"/>
    </row>
    <row r="219" spans="1:19">
      <c r="F219" s="7"/>
      <c r="G219" s="7"/>
      <c r="H219" s="9"/>
      <c r="I219" s="7"/>
      <c r="J219" s="7"/>
      <c r="K219" s="9"/>
      <c r="L219" s="7"/>
      <c r="M219" s="11"/>
      <c r="N219" s="7"/>
      <c r="O219" s="9"/>
      <c r="P219" s="7"/>
      <c r="Q219" s="9"/>
      <c r="R219" s="9"/>
      <c r="S219" s="9"/>
    </row>
    <row r="220" spans="1:19">
      <c r="F220" s="7"/>
      <c r="G220" s="7"/>
      <c r="H220" s="9"/>
      <c r="I220" s="7"/>
      <c r="J220" s="7"/>
      <c r="K220" s="9"/>
      <c r="L220" s="7"/>
      <c r="M220" s="11"/>
      <c r="N220" s="7"/>
      <c r="O220" s="9"/>
      <c r="P220" s="7"/>
      <c r="Q220" s="9"/>
      <c r="R220" s="9"/>
      <c r="S220" s="9"/>
    </row>
    <row r="221" spans="1:19">
      <c r="A221" s="3">
        <v>4</v>
      </c>
      <c r="F221" s="7"/>
      <c r="G221" s="7"/>
      <c r="H221" s="9"/>
      <c r="I221" s="7"/>
      <c r="J221" s="7"/>
      <c r="K221" s="9"/>
      <c r="L221" s="7"/>
      <c r="M221" s="11"/>
      <c r="N221" s="7"/>
      <c r="O221" s="9"/>
      <c r="P221" s="7"/>
      <c r="Q221" s="9"/>
      <c r="R221" s="9"/>
      <c r="S221" s="9"/>
    </row>
    <row r="222" spans="1:19">
      <c r="F222" s="7"/>
      <c r="G222" s="7"/>
      <c r="H222" s="9"/>
      <c r="I222" s="7"/>
      <c r="J222" s="7"/>
      <c r="K222" s="9"/>
      <c r="L222" s="7"/>
      <c r="M222" s="11"/>
      <c r="N222" s="7"/>
      <c r="O222" s="9"/>
      <c r="P222" s="7"/>
      <c r="Q222" s="9"/>
      <c r="R222" s="9"/>
      <c r="S222" s="9"/>
    </row>
    <row r="223" spans="1:19">
      <c r="F223" s="7"/>
      <c r="G223" s="7"/>
      <c r="H223" s="9"/>
      <c r="I223" s="7"/>
      <c r="J223" s="7"/>
      <c r="K223" s="9"/>
      <c r="L223" s="7"/>
      <c r="M223" s="11"/>
      <c r="N223" s="7"/>
      <c r="O223" s="9"/>
      <c r="P223" s="7"/>
      <c r="Q223" s="9"/>
      <c r="R223" s="9"/>
      <c r="S223" s="9"/>
    </row>
    <row r="224" spans="1:19">
      <c r="F224" s="7"/>
      <c r="G224" s="7"/>
      <c r="H224" s="9"/>
      <c r="I224" s="7"/>
      <c r="J224" s="7"/>
      <c r="K224" s="9"/>
      <c r="L224" s="7"/>
      <c r="M224" s="11"/>
      <c r="N224" s="7"/>
      <c r="O224" s="9"/>
      <c r="P224" s="7"/>
      <c r="Q224" s="9"/>
      <c r="R224" s="9"/>
      <c r="S224" s="9"/>
    </row>
    <row r="225" spans="6:19">
      <c r="F225" s="7"/>
      <c r="G225" s="7"/>
      <c r="H225" s="9"/>
      <c r="I225" s="7"/>
      <c r="J225" s="7"/>
      <c r="K225" s="9"/>
      <c r="L225" s="7"/>
      <c r="M225" s="11"/>
      <c r="N225" s="7"/>
      <c r="O225" s="9"/>
      <c r="P225" s="7"/>
      <c r="Q225" s="9"/>
      <c r="R225" s="9"/>
      <c r="S225" s="9"/>
    </row>
    <row r="226" spans="6:19">
      <c r="F226" s="7"/>
      <c r="G226" s="7"/>
      <c r="H226" s="9"/>
      <c r="I226" s="7"/>
      <c r="J226" s="7"/>
      <c r="K226" s="9"/>
      <c r="L226" s="7"/>
      <c r="M226" s="11"/>
      <c r="N226" s="7"/>
      <c r="O226" s="9"/>
      <c r="P226" s="7"/>
      <c r="Q226" s="9"/>
      <c r="R226" s="9"/>
      <c r="S226" s="9"/>
    </row>
  </sheetData>
  <pageMargins left="0.25" right="0.25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6"/>
  <sheetViews>
    <sheetView showGridLines="0" workbookViewId="0">
      <pane ySplit="4680" topLeftCell="A125" activePane="bottomLeft"/>
      <selection activeCell="B115" sqref="B115"/>
      <selection pane="bottomLeft" activeCell="F134" sqref="F134"/>
    </sheetView>
  </sheetViews>
  <sheetFormatPr baseColWidth="10" defaultColWidth="8.625" defaultRowHeight="13" x14ac:dyDescent="0"/>
  <cols>
    <col min="1" max="1" width="5.75" style="3" customWidth="1"/>
    <col min="2" max="2" width="16.875" style="6" bestFit="1" customWidth="1"/>
    <col min="3" max="3" width="5.75" style="6" bestFit="1" customWidth="1"/>
    <col min="4" max="4" width="5.875" style="6" bestFit="1" customWidth="1"/>
    <col min="5" max="5" width="4.875" style="6" bestFit="1" customWidth="1"/>
    <col min="6" max="6" width="6.625" style="6" bestFit="1" customWidth="1"/>
    <col min="7" max="7" width="6" style="6" bestFit="1" customWidth="1"/>
    <col min="8" max="8" width="4.875" style="6" bestFit="1" customWidth="1"/>
    <col min="9" max="9" width="5.75" style="6" bestFit="1" customWidth="1"/>
    <col min="10" max="11" width="6" style="6" bestFit="1" customWidth="1"/>
    <col min="12" max="12" width="4" style="6" bestFit="1" customWidth="1"/>
    <col min="13" max="13" width="6.625" style="6" bestFit="1" customWidth="1"/>
    <col min="14" max="14" width="6.75" style="6" bestFit="1" customWidth="1"/>
    <col min="15" max="15" width="5.625" style="6" bestFit="1" customWidth="1"/>
    <col min="16" max="16" width="5.125" style="6" bestFit="1" customWidth="1"/>
    <col min="17" max="18" width="6.25" style="6" bestFit="1" customWidth="1"/>
    <col min="19" max="19" width="8.375" style="6" customWidth="1"/>
    <col min="20" max="20" width="8.625" style="6"/>
    <col min="21" max="16384" width="8.625" style="1"/>
  </cols>
  <sheetData>
    <row r="1" spans="1:20">
      <c r="A1" s="3" t="s">
        <v>165</v>
      </c>
    </row>
    <row r="2" spans="1:20">
      <c r="A2" s="2" t="s">
        <v>164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D3" s="6" t="s">
        <v>124</v>
      </c>
      <c r="E3" s="6" t="s">
        <v>127</v>
      </c>
      <c r="F3" s="6" t="s">
        <v>130</v>
      </c>
      <c r="G3" s="6" t="s">
        <v>133</v>
      </c>
      <c r="J3" s="6" t="s">
        <v>130</v>
      </c>
      <c r="K3" s="6" t="s">
        <v>135</v>
      </c>
      <c r="N3" s="6" t="s">
        <v>140</v>
      </c>
      <c r="O3" s="6" t="s">
        <v>142</v>
      </c>
      <c r="Q3" s="6" t="s">
        <v>146</v>
      </c>
      <c r="R3" s="6" t="s">
        <v>146</v>
      </c>
      <c r="S3" s="6" t="s">
        <v>151</v>
      </c>
      <c r="T3" s="6" t="s">
        <v>151</v>
      </c>
    </row>
    <row r="4" spans="1:20">
      <c r="D4" s="6" t="s">
        <v>125</v>
      </c>
      <c r="E4" s="6" t="s">
        <v>128</v>
      </c>
      <c r="F4" s="6" t="s">
        <v>131</v>
      </c>
      <c r="G4" s="6" t="s">
        <v>134</v>
      </c>
      <c r="H4" s="6" t="s">
        <v>135</v>
      </c>
      <c r="I4" s="6" t="s">
        <v>135</v>
      </c>
      <c r="J4" s="6" t="s">
        <v>137</v>
      </c>
      <c r="K4" s="6" t="s">
        <v>137</v>
      </c>
      <c r="L4" s="6" t="s">
        <v>138</v>
      </c>
      <c r="M4" s="6" t="s">
        <v>139</v>
      </c>
      <c r="N4" s="6" t="s">
        <v>141</v>
      </c>
      <c r="O4" s="6" t="s">
        <v>143</v>
      </c>
      <c r="P4" s="6" t="s">
        <v>145</v>
      </c>
      <c r="Q4" s="6" t="s">
        <v>147</v>
      </c>
      <c r="R4" s="6" t="s">
        <v>149</v>
      </c>
      <c r="S4" s="6" t="s">
        <v>147</v>
      </c>
      <c r="T4" s="6" t="s">
        <v>149</v>
      </c>
    </row>
    <row r="5" spans="1:20">
      <c r="A5" s="2" t="s">
        <v>121</v>
      </c>
      <c r="B5" s="5" t="s">
        <v>122</v>
      </c>
      <c r="C5" s="5" t="s">
        <v>123</v>
      </c>
      <c r="D5" s="5" t="s">
        <v>126</v>
      </c>
      <c r="E5" s="5" t="s">
        <v>129</v>
      </c>
      <c r="F5" s="5" t="s">
        <v>132</v>
      </c>
      <c r="G5" s="5" t="s">
        <v>129</v>
      </c>
      <c r="H5" s="5" t="s">
        <v>131</v>
      </c>
      <c r="I5" s="5" t="s">
        <v>136</v>
      </c>
      <c r="J5" s="5" t="s">
        <v>129</v>
      </c>
      <c r="K5" s="5" t="s">
        <v>129</v>
      </c>
      <c r="L5" s="5" t="s">
        <v>129</v>
      </c>
      <c r="M5" s="5" t="s">
        <v>162</v>
      </c>
      <c r="N5" s="5" t="s">
        <v>163</v>
      </c>
      <c r="O5" s="5" t="s">
        <v>144</v>
      </c>
      <c r="P5" s="5" t="s">
        <v>144</v>
      </c>
      <c r="Q5" s="5" t="s">
        <v>148</v>
      </c>
      <c r="R5" s="5" t="s">
        <v>150</v>
      </c>
      <c r="S5" s="5" t="s">
        <v>148</v>
      </c>
      <c r="T5" s="5" t="s">
        <v>150</v>
      </c>
    </row>
    <row r="6" spans="1:20">
      <c r="A6" s="3">
        <v>3092</v>
      </c>
      <c r="B6" s="6" t="s">
        <v>0</v>
      </c>
      <c r="C6" s="6">
        <v>2</v>
      </c>
      <c r="D6" s="7">
        <v>45.363408521303256</v>
      </c>
      <c r="E6" s="7">
        <v>98.3</v>
      </c>
      <c r="F6" s="9">
        <v>56.8</v>
      </c>
      <c r="G6" s="7">
        <v>81.838716483794045</v>
      </c>
      <c r="H6" s="7" t="s">
        <v>166</v>
      </c>
      <c r="I6" s="9">
        <v>3</v>
      </c>
      <c r="J6" s="7">
        <v>10.359116022099448</v>
      </c>
      <c r="K6" s="11">
        <v>4.8087878183716084</v>
      </c>
      <c r="L6" s="7">
        <v>50.142244680272114</v>
      </c>
      <c r="M6" s="9">
        <v>108.72532018094806</v>
      </c>
      <c r="N6" s="7">
        <v>51.889432225115804</v>
      </c>
      <c r="O6" s="9">
        <v>276.27</v>
      </c>
      <c r="P6" s="9">
        <v>158.63999999999999</v>
      </c>
      <c r="Q6" s="9">
        <v>43</v>
      </c>
      <c r="R6" s="6">
        <f t="shared" ref="R6:R37" si="0">RANK(Q6,$Q$6:$Q$125)</f>
        <v>90</v>
      </c>
      <c r="S6" s="6">
        <v>44</v>
      </c>
      <c r="T6" s="6">
        <f t="shared" ref="T6:T37" si="1">RANK(S6,$S$6:$S$125)</f>
        <v>15</v>
      </c>
    </row>
    <row r="7" spans="1:20">
      <c r="A7" s="3">
        <v>3093</v>
      </c>
      <c r="B7" s="6" t="s">
        <v>1</v>
      </c>
      <c r="C7" s="6">
        <v>2</v>
      </c>
      <c r="D7" s="7">
        <v>46.840731070496084</v>
      </c>
      <c r="E7" s="7">
        <v>98.5</v>
      </c>
      <c r="F7" s="9">
        <v>55.849999999999994</v>
      </c>
      <c r="G7" s="7">
        <v>81.410055844192229</v>
      </c>
      <c r="H7" s="7" t="s">
        <v>166</v>
      </c>
      <c r="I7" s="9">
        <v>3</v>
      </c>
      <c r="J7" s="7">
        <v>10.730211817168339</v>
      </c>
      <c r="K7" s="11">
        <v>4.850002481751825</v>
      </c>
      <c r="L7" s="7">
        <v>49.283733827814572</v>
      </c>
      <c r="M7" s="9">
        <v>117.63009762384243</v>
      </c>
      <c r="N7" s="7">
        <v>47.375996151180509</v>
      </c>
      <c r="O7" s="9">
        <v>201.52</v>
      </c>
      <c r="P7" s="9">
        <v>147.66</v>
      </c>
      <c r="Q7" s="9">
        <v>40</v>
      </c>
      <c r="R7" s="6">
        <f t="shared" si="0"/>
        <v>101</v>
      </c>
      <c r="S7" s="6">
        <v>26</v>
      </c>
      <c r="T7" s="6">
        <f t="shared" si="1"/>
        <v>117</v>
      </c>
    </row>
    <row r="8" spans="1:20">
      <c r="A8" s="3">
        <v>3094</v>
      </c>
      <c r="B8" s="6" t="s">
        <v>2</v>
      </c>
      <c r="C8" s="6">
        <v>2</v>
      </c>
      <c r="D8" s="7">
        <v>44.416873449131515</v>
      </c>
      <c r="E8" s="7">
        <v>99</v>
      </c>
      <c r="F8" s="9">
        <v>61.709999999999994</v>
      </c>
      <c r="G8" s="7">
        <v>82.880240672564426</v>
      </c>
      <c r="H8" s="7">
        <v>2.0099999999999998</v>
      </c>
      <c r="I8" s="9">
        <v>2</v>
      </c>
      <c r="J8" s="7">
        <v>9.4972067039106154</v>
      </c>
      <c r="K8" s="11">
        <v>4.8172418645833348</v>
      </c>
      <c r="L8" s="7">
        <v>54.809507437037048</v>
      </c>
      <c r="M8" s="9">
        <v>126.85380030273207</v>
      </c>
      <c r="N8" s="7">
        <v>58.876255305374848</v>
      </c>
      <c r="O8" s="9">
        <v>73.28</v>
      </c>
      <c r="P8" s="9">
        <v>153.85</v>
      </c>
      <c r="Q8" s="9">
        <v>54</v>
      </c>
      <c r="R8" s="6">
        <f t="shared" si="0"/>
        <v>23</v>
      </c>
      <c r="S8" s="6">
        <v>40</v>
      </c>
      <c r="T8" s="6">
        <f t="shared" si="1"/>
        <v>45</v>
      </c>
    </row>
    <row r="9" spans="1:20">
      <c r="A9" s="3">
        <v>3095</v>
      </c>
      <c r="B9" s="6" t="s">
        <v>3</v>
      </c>
      <c r="C9" s="6">
        <v>2</v>
      </c>
      <c r="D9" s="7">
        <v>46.956521739130437</v>
      </c>
      <c r="E9" s="7">
        <v>98.4</v>
      </c>
      <c r="F9" s="9">
        <v>60.89</v>
      </c>
      <c r="G9" s="7">
        <v>82.147363808617953</v>
      </c>
      <c r="H9" s="7" t="s">
        <v>166</v>
      </c>
      <c r="I9" s="9">
        <v>3</v>
      </c>
      <c r="J9" s="7">
        <v>9.8039215686274517</v>
      </c>
      <c r="K9" s="11">
        <v>4.4246953076120956</v>
      </c>
      <c r="L9" s="7">
        <v>49.197481739130431</v>
      </c>
      <c r="M9" s="9">
        <v>116.05356340758352</v>
      </c>
      <c r="N9" s="7">
        <v>52.079830617898843</v>
      </c>
      <c r="O9" s="9">
        <v>284.86</v>
      </c>
      <c r="P9" s="9">
        <v>133.53</v>
      </c>
      <c r="Q9" s="9">
        <v>39</v>
      </c>
      <c r="R9" s="6">
        <f t="shared" si="0"/>
        <v>108</v>
      </c>
      <c r="S9" s="6">
        <v>43</v>
      </c>
      <c r="T9" s="6">
        <f t="shared" si="1"/>
        <v>19</v>
      </c>
    </row>
    <row r="10" spans="1:20">
      <c r="A10" s="3">
        <v>3096</v>
      </c>
      <c r="B10" s="6" t="s">
        <v>4</v>
      </c>
      <c r="C10" s="6">
        <v>2</v>
      </c>
      <c r="D10" s="7">
        <v>43.75</v>
      </c>
      <c r="E10" s="7">
        <v>97.2</v>
      </c>
      <c r="F10" s="9">
        <v>57.17</v>
      </c>
      <c r="G10" s="7">
        <v>82.972556854397524</v>
      </c>
      <c r="H10" s="7">
        <v>1.63</v>
      </c>
      <c r="I10" s="9">
        <v>2</v>
      </c>
      <c r="J10" s="7">
        <v>9.134615384615385</v>
      </c>
      <c r="K10" s="11">
        <v>4.5496349582463465</v>
      </c>
      <c r="L10" s="7">
        <v>54.059538480620148</v>
      </c>
      <c r="M10" s="9">
        <v>124.79895739467212</v>
      </c>
      <c r="N10" s="7">
        <v>47.158611322549582</v>
      </c>
      <c r="O10" s="9">
        <v>135.71</v>
      </c>
      <c r="P10" s="9">
        <v>129.94999999999999</v>
      </c>
      <c r="Q10" s="9">
        <v>43</v>
      </c>
      <c r="R10" s="6">
        <f t="shared" si="0"/>
        <v>90</v>
      </c>
      <c r="S10" s="6">
        <v>32</v>
      </c>
      <c r="T10" s="6">
        <f t="shared" si="1"/>
        <v>106</v>
      </c>
    </row>
    <row r="11" spans="1:20">
      <c r="A11" s="3">
        <v>3097</v>
      </c>
      <c r="B11" s="6" t="s">
        <v>5</v>
      </c>
      <c r="C11" s="6">
        <v>2</v>
      </c>
      <c r="D11" s="7">
        <v>47.95755968169761</v>
      </c>
      <c r="E11" s="7">
        <v>98.6</v>
      </c>
      <c r="F11" s="9">
        <v>59.230000000000004</v>
      </c>
      <c r="G11" s="7">
        <v>82.485939319375163</v>
      </c>
      <c r="H11" s="7">
        <v>1.8900000000000001</v>
      </c>
      <c r="I11" s="9">
        <v>2</v>
      </c>
      <c r="J11" s="7">
        <v>9.5409292035398217</v>
      </c>
      <c r="K11" s="11">
        <v>4.6325183229166669</v>
      </c>
      <c r="L11" s="7">
        <v>51.938307620437953</v>
      </c>
      <c r="M11" s="9">
        <v>107.95204814253282</v>
      </c>
      <c r="N11" s="7">
        <v>47.646227489653455</v>
      </c>
      <c r="O11" s="9">
        <v>178.39</v>
      </c>
      <c r="P11" s="9">
        <v>152.96</v>
      </c>
      <c r="Q11" s="9">
        <v>37</v>
      </c>
      <c r="R11" s="6">
        <f t="shared" si="0"/>
        <v>111</v>
      </c>
      <c r="S11" s="6">
        <v>43</v>
      </c>
      <c r="T11" s="6">
        <f t="shared" si="1"/>
        <v>19</v>
      </c>
    </row>
    <row r="12" spans="1:20">
      <c r="A12" s="3">
        <v>3098</v>
      </c>
      <c r="B12" s="6" t="s">
        <v>6</v>
      </c>
      <c r="C12" s="6">
        <v>2</v>
      </c>
      <c r="D12" s="7" t="s">
        <v>169</v>
      </c>
      <c r="E12" s="7" t="s">
        <v>170</v>
      </c>
      <c r="F12" s="9">
        <v>52.83</v>
      </c>
      <c r="G12" s="7">
        <v>82.173001306186748</v>
      </c>
      <c r="H12" s="7">
        <v>2.17</v>
      </c>
      <c r="I12" s="9">
        <v>2</v>
      </c>
      <c r="J12" s="7">
        <v>9.5888520971302427</v>
      </c>
      <c r="K12" s="11">
        <v>4.9731323596673596</v>
      </c>
      <c r="L12" s="7">
        <v>52.429077589041093</v>
      </c>
      <c r="M12" s="9">
        <v>140.49797515716747</v>
      </c>
      <c r="N12" s="7">
        <v>57.05660506037502</v>
      </c>
      <c r="O12" s="9">
        <v>34.17</v>
      </c>
      <c r="P12" s="9">
        <v>167.69</v>
      </c>
      <c r="Q12" s="9">
        <v>49</v>
      </c>
      <c r="R12" s="6">
        <f t="shared" si="0"/>
        <v>47</v>
      </c>
      <c r="S12" s="6">
        <v>35</v>
      </c>
      <c r="T12" s="6">
        <f t="shared" si="1"/>
        <v>92</v>
      </c>
    </row>
    <row r="13" spans="1:20">
      <c r="A13" s="3">
        <v>3099</v>
      </c>
      <c r="B13" s="6" t="s">
        <v>7</v>
      </c>
      <c r="C13" s="6">
        <v>2</v>
      </c>
      <c r="D13" s="7">
        <v>42.25352112676056</v>
      </c>
      <c r="E13" s="7">
        <v>97.5</v>
      </c>
      <c r="F13" s="9">
        <v>62.769999999999996</v>
      </c>
      <c r="G13" s="7">
        <v>81.799246997870512</v>
      </c>
      <c r="H13" s="7">
        <v>1.76</v>
      </c>
      <c r="I13" s="9">
        <v>2</v>
      </c>
      <c r="J13" s="7">
        <v>9.6527777777777786</v>
      </c>
      <c r="K13" s="11">
        <v>4.6879353854166679</v>
      </c>
      <c r="L13" s="7">
        <v>53.338287051851864</v>
      </c>
      <c r="M13" s="9">
        <v>130.13564554028326</v>
      </c>
      <c r="N13" s="7">
        <v>46.821236348678269</v>
      </c>
      <c r="O13" s="9">
        <v>71.25</v>
      </c>
      <c r="P13" s="9">
        <v>150.91</v>
      </c>
      <c r="Q13" s="9">
        <v>47</v>
      </c>
      <c r="R13" s="6">
        <f t="shared" si="0"/>
        <v>62</v>
      </c>
      <c r="S13" s="6">
        <v>43</v>
      </c>
      <c r="T13" s="6">
        <f t="shared" si="1"/>
        <v>19</v>
      </c>
    </row>
    <row r="14" spans="1:20">
      <c r="A14" s="3">
        <v>3100</v>
      </c>
      <c r="B14" s="6" t="s">
        <v>8</v>
      </c>
      <c r="C14" s="6">
        <v>2</v>
      </c>
      <c r="D14" s="7">
        <v>44.127764127764131</v>
      </c>
      <c r="E14" s="7">
        <v>98.4</v>
      </c>
      <c r="F14" s="9">
        <v>59.769999999999996</v>
      </c>
      <c r="G14" s="7">
        <v>82.991514991646895</v>
      </c>
      <c r="H14" s="7">
        <v>1.69</v>
      </c>
      <c r="I14" s="9">
        <v>2</v>
      </c>
      <c r="J14" s="7">
        <v>9.5350779510022274</v>
      </c>
      <c r="K14" s="11">
        <v>4.7064077395833337</v>
      </c>
      <c r="L14" s="7">
        <v>51.636016342857147</v>
      </c>
      <c r="M14" s="9">
        <v>135.4377690941412</v>
      </c>
      <c r="N14" s="7">
        <v>45.8886376675759</v>
      </c>
      <c r="O14" s="9">
        <v>82.8</v>
      </c>
      <c r="P14" s="9">
        <v>149.94</v>
      </c>
      <c r="Q14" s="9">
        <v>47</v>
      </c>
      <c r="R14" s="6">
        <f t="shared" si="0"/>
        <v>62</v>
      </c>
      <c r="S14" s="6">
        <v>36</v>
      </c>
      <c r="T14" s="6">
        <f t="shared" si="1"/>
        <v>84</v>
      </c>
    </row>
    <row r="15" spans="1:20">
      <c r="A15" s="3">
        <v>3101</v>
      </c>
      <c r="B15" s="6" t="s">
        <v>9</v>
      </c>
      <c r="C15" s="6">
        <v>2</v>
      </c>
      <c r="D15" s="7">
        <v>41.098398169336384</v>
      </c>
      <c r="E15" s="7">
        <v>98.3</v>
      </c>
      <c r="F15" s="9">
        <v>59.45</v>
      </c>
      <c r="G15" s="7">
        <v>82.485939319375163</v>
      </c>
      <c r="H15" s="7">
        <v>1.6600000000000001</v>
      </c>
      <c r="I15" s="9">
        <v>2</v>
      </c>
      <c r="J15" s="7">
        <v>10.161469933184856</v>
      </c>
      <c r="K15" s="11">
        <v>4.6786992083333336</v>
      </c>
      <c r="L15" s="7">
        <v>48.557310702702708</v>
      </c>
      <c r="M15" s="9">
        <v>137.43876208285769</v>
      </c>
      <c r="N15" s="7">
        <v>45.8886376675759</v>
      </c>
      <c r="O15" s="9">
        <v>90.49</v>
      </c>
      <c r="P15" s="9">
        <v>152.6</v>
      </c>
      <c r="Q15" s="9">
        <v>46</v>
      </c>
      <c r="R15" s="6">
        <f t="shared" si="0"/>
        <v>72</v>
      </c>
      <c r="S15" s="6">
        <v>47</v>
      </c>
      <c r="T15" s="6">
        <f t="shared" si="1"/>
        <v>4</v>
      </c>
    </row>
    <row r="16" spans="1:20">
      <c r="A16" s="3">
        <v>3102</v>
      </c>
      <c r="B16" s="6" t="s">
        <v>10</v>
      </c>
      <c r="C16" s="6">
        <v>2</v>
      </c>
      <c r="D16" s="7">
        <v>44.375</v>
      </c>
      <c r="E16" s="7">
        <v>97.4</v>
      </c>
      <c r="F16" s="9">
        <v>57.36</v>
      </c>
      <c r="G16" s="7">
        <v>83.324274069941097</v>
      </c>
      <c r="H16" s="7">
        <v>1.75</v>
      </c>
      <c r="I16" s="9">
        <v>2</v>
      </c>
      <c r="J16" s="7">
        <v>10.157096424702059</v>
      </c>
      <c r="K16" s="11">
        <v>4.8926602375742432</v>
      </c>
      <c r="L16" s="7">
        <v>51.812259641379327</v>
      </c>
      <c r="M16" s="9">
        <v>147.84543509346057</v>
      </c>
      <c r="N16" s="7">
        <v>46.548829417532062</v>
      </c>
      <c r="O16" s="9">
        <v>105.99</v>
      </c>
      <c r="P16" s="9">
        <v>168.82</v>
      </c>
      <c r="Q16" s="9">
        <v>47</v>
      </c>
      <c r="R16" s="6">
        <f t="shared" si="0"/>
        <v>62</v>
      </c>
      <c r="S16" s="6">
        <v>41</v>
      </c>
      <c r="T16" s="6">
        <f t="shared" si="1"/>
        <v>31</v>
      </c>
    </row>
    <row r="17" spans="1:20">
      <c r="A17" s="3">
        <v>3103</v>
      </c>
      <c r="B17" s="6" t="s">
        <v>11</v>
      </c>
      <c r="C17" s="6">
        <v>2</v>
      </c>
      <c r="D17" s="7">
        <v>39.399141630901291</v>
      </c>
      <c r="E17" s="7">
        <v>95.7</v>
      </c>
      <c r="F17" s="9">
        <v>58.31</v>
      </c>
      <c r="G17" s="7">
        <v>83.345342288438161</v>
      </c>
      <c r="H17" s="7">
        <v>1.83</v>
      </c>
      <c r="I17" s="9">
        <v>2</v>
      </c>
      <c r="J17" s="7">
        <v>9.3954248366013076</v>
      </c>
      <c r="K17" s="11">
        <v>4.7715580164600491</v>
      </c>
      <c r="L17" s="7">
        <v>54.284071585185202</v>
      </c>
      <c r="M17" s="9">
        <v>146.90037628409971</v>
      </c>
      <c r="N17" s="7">
        <v>55.029054378204599</v>
      </c>
      <c r="O17" s="9">
        <v>30.57</v>
      </c>
      <c r="P17" s="9">
        <v>163.07</v>
      </c>
      <c r="Q17" s="9">
        <v>47</v>
      </c>
      <c r="R17" s="6">
        <f t="shared" si="0"/>
        <v>62</v>
      </c>
      <c r="S17" s="6">
        <v>37</v>
      </c>
      <c r="T17" s="6">
        <f t="shared" si="1"/>
        <v>75</v>
      </c>
    </row>
    <row r="18" spans="1:20">
      <c r="A18" s="3">
        <v>3104</v>
      </c>
      <c r="B18" s="6" t="s">
        <v>12</v>
      </c>
      <c r="C18" s="6">
        <v>2</v>
      </c>
      <c r="D18" s="7">
        <v>43.36492890995261</v>
      </c>
      <c r="E18" s="7">
        <v>97.9</v>
      </c>
      <c r="F18" s="9">
        <v>60.730000000000004</v>
      </c>
      <c r="G18" s="7">
        <v>83.066829599433603</v>
      </c>
      <c r="H18" s="7">
        <v>1.72</v>
      </c>
      <c r="I18" s="9">
        <v>2</v>
      </c>
      <c r="J18" s="7">
        <v>10.040983606557377</v>
      </c>
      <c r="K18" s="11">
        <v>4.8792662668196511</v>
      </c>
      <c r="L18" s="7">
        <v>49.56559014569536</v>
      </c>
      <c r="M18" s="9">
        <v>157.25534892906467</v>
      </c>
      <c r="N18" s="7">
        <v>48.908096538462587</v>
      </c>
      <c r="O18" s="9">
        <v>131.65</v>
      </c>
      <c r="P18" s="9">
        <v>164.91</v>
      </c>
      <c r="Q18" s="9">
        <v>47</v>
      </c>
      <c r="R18" s="6">
        <f t="shared" si="0"/>
        <v>62</v>
      </c>
      <c r="S18" s="6">
        <v>41</v>
      </c>
      <c r="T18" s="6">
        <f t="shared" si="1"/>
        <v>31</v>
      </c>
    </row>
    <row r="19" spans="1:20">
      <c r="A19" s="3">
        <v>3105</v>
      </c>
      <c r="B19" s="6" t="s">
        <v>13</v>
      </c>
      <c r="C19" s="6">
        <v>2</v>
      </c>
      <c r="D19" s="7">
        <v>45.260545905707197</v>
      </c>
      <c r="E19" s="7">
        <v>98.8</v>
      </c>
      <c r="F19" s="9">
        <v>62.78</v>
      </c>
      <c r="G19" s="7">
        <v>82.788299745819572</v>
      </c>
      <c r="H19" s="7">
        <v>2.34</v>
      </c>
      <c r="I19" s="9">
        <v>2</v>
      </c>
      <c r="J19" s="7">
        <v>10.553728070175438</v>
      </c>
      <c r="K19" s="11">
        <v>5.0307220045842884</v>
      </c>
      <c r="L19" s="7">
        <v>51.84952461744966</v>
      </c>
      <c r="M19" s="9">
        <v>155.84583055604156</v>
      </c>
      <c r="N19" s="7">
        <v>63.047240569627988</v>
      </c>
      <c r="O19" s="9">
        <v>71.680000000000007</v>
      </c>
      <c r="P19" s="9">
        <v>155.97</v>
      </c>
      <c r="Q19" s="9">
        <v>54</v>
      </c>
      <c r="R19" s="6">
        <f t="shared" si="0"/>
        <v>23</v>
      </c>
      <c r="S19" s="6">
        <v>40</v>
      </c>
      <c r="T19" s="6">
        <f t="shared" si="1"/>
        <v>45</v>
      </c>
    </row>
    <row r="20" spans="1:20">
      <c r="A20" s="3">
        <v>3106</v>
      </c>
      <c r="B20" s="6" t="s">
        <v>14</v>
      </c>
      <c r="C20" s="6">
        <v>2</v>
      </c>
      <c r="D20" s="7">
        <v>36.774193548387096</v>
      </c>
      <c r="E20" s="7" t="s">
        <v>171</v>
      </c>
      <c r="F20" s="9">
        <v>55.629999999999995</v>
      </c>
      <c r="G20" s="7">
        <v>82.331862854278853</v>
      </c>
      <c r="H20" s="7">
        <v>1.77</v>
      </c>
      <c r="I20" s="9">
        <v>1</v>
      </c>
      <c r="J20" s="7">
        <v>9.4572368421052637</v>
      </c>
      <c r="K20" s="11">
        <v>4.4593535383011993</v>
      </c>
      <c r="L20" s="7">
        <v>49.251795338129511</v>
      </c>
      <c r="M20" s="9">
        <v>138.12013914427783</v>
      </c>
      <c r="N20" s="7">
        <v>59.753306284284207</v>
      </c>
      <c r="O20" s="9">
        <v>63.12</v>
      </c>
      <c r="P20" s="9">
        <v>138.22999999999999</v>
      </c>
      <c r="Q20" s="9">
        <v>46</v>
      </c>
      <c r="R20" s="6">
        <f t="shared" si="0"/>
        <v>72</v>
      </c>
      <c r="S20" s="6">
        <v>39</v>
      </c>
      <c r="T20" s="6">
        <f t="shared" si="1"/>
        <v>60</v>
      </c>
    </row>
    <row r="21" spans="1:20">
      <c r="A21" s="3">
        <v>3107</v>
      </c>
      <c r="B21" s="6" t="s">
        <v>15</v>
      </c>
      <c r="C21" s="6">
        <v>2</v>
      </c>
      <c r="D21" s="7">
        <v>40.758928571428569</v>
      </c>
      <c r="E21" s="7">
        <v>97.7</v>
      </c>
      <c r="F21" s="9">
        <v>56.290000000000006</v>
      </c>
      <c r="G21" s="7">
        <v>83.472260371553148</v>
      </c>
      <c r="H21" s="7">
        <v>1.96</v>
      </c>
      <c r="I21" s="9">
        <v>2</v>
      </c>
      <c r="J21" s="7">
        <v>10.268346111719605</v>
      </c>
      <c r="K21" s="11">
        <v>4.9810019818504223</v>
      </c>
      <c r="L21" s="7">
        <v>50.26617473684211</v>
      </c>
      <c r="M21" s="9">
        <v>146.94185537663779</v>
      </c>
      <c r="N21" s="7">
        <v>60.868730183976446</v>
      </c>
      <c r="O21" s="9">
        <v>78.400000000000006</v>
      </c>
      <c r="P21" s="9">
        <v>163.44999999999999</v>
      </c>
      <c r="Q21" s="9">
        <v>53</v>
      </c>
      <c r="R21" s="6">
        <f t="shared" si="0"/>
        <v>25</v>
      </c>
      <c r="S21" s="6">
        <v>44</v>
      </c>
      <c r="T21" s="6">
        <f t="shared" si="1"/>
        <v>15</v>
      </c>
    </row>
    <row r="22" spans="1:20">
      <c r="A22" s="3">
        <v>3108</v>
      </c>
      <c r="B22" s="6" t="s">
        <v>16</v>
      </c>
      <c r="C22" s="6">
        <v>2</v>
      </c>
      <c r="D22" s="7">
        <v>48.68632707774799</v>
      </c>
      <c r="E22" s="7">
        <v>98.3</v>
      </c>
      <c r="F22" s="9">
        <v>57.66</v>
      </c>
      <c r="G22" s="7">
        <v>81.562911351616719</v>
      </c>
      <c r="H22" s="7">
        <v>1.8599999999999999</v>
      </c>
      <c r="I22" s="9">
        <v>2</v>
      </c>
      <c r="J22" s="7">
        <v>10.049559471365638</v>
      </c>
      <c r="K22" s="11">
        <v>4.9594636135770234</v>
      </c>
      <c r="L22" s="7">
        <v>53.132155636363635</v>
      </c>
      <c r="M22" s="9">
        <v>159.84563498354387</v>
      </c>
      <c r="N22" s="7">
        <v>47.255162895753429</v>
      </c>
      <c r="O22" s="9">
        <v>83.71</v>
      </c>
      <c r="P22" s="9">
        <v>148.9</v>
      </c>
      <c r="Q22" s="9">
        <v>51</v>
      </c>
      <c r="R22" s="6">
        <f t="shared" si="0"/>
        <v>35</v>
      </c>
      <c r="S22" s="6">
        <v>41</v>
      </c>
      <c r="T22" s="6">
        <f t="shared" si="1"/>
        <v>31</v>
      </c>
    </row>
    <row r="23" spans="1:20">
      <c r="A23" s="3">
        <v>3109</v>
      </c>
      <c r="B23" s="6" t="s">
        <v>17</v>
      </c>
      <c r="C23" s="6">
        <v>2</v>
      </c>
      <c r="D23" s="7">
        <v>38.312236286919834</v>
      </c>
      <c r="E23" s="7">
        <v>96.5</v>
      </c>
      <c r="F23" s="9">
        <v>55.91</v>
      </c>
      <c r="G23" s="7">
        <v>81.388698105854232</v>
      </c>
      <c r="H23" s="7">
        <v>1.87</v>
      </c>
      <c r="I23" s="9">
        <v>1</v>
      </c>
      <c r="J23" s="7">
        <v>10.32488986784141</v>
      </c>
      <c r="K23" s="11">
        <v>4.7021397659596706</v>
      </c>
      <c r="L23" s="7">
        <v>48.326635919463087</v>
      </c>
      <c r="M23" s="9">
        <v>144.13107011036109</v>
      </c>
      <c r="N23" s="7">
        <v>52.491702366091175</v>
      </c>
      <c r="O23" s="9">
        <v>163.47</v>
      </c>
      <c r="P23" s="9">
        <v>138.47</v>
      </c>
      <c r="Q23" s="9">
        <v>41</v>
      </c>
      <c r="R23" s="6">
        <f t="shared" si="0"/>
        <v>97</v>
      </c>
      <c r="S23" s="6">
        <v>27</v>
      </c>
      <c r="T23" s="6">
        <f t="shared" si="1"/>
        <v>116</v>
      </c>
    </row>
    <row r="24" spans="1:20">
      <c r="A24" s="3">
        <v>3110</v>
      </c>
      <c r="B24" s="6" t="s">
        <v>18</v>
      </c>
      <c r="C24" s="6">
        <v>2</v>
      </c>
      <c r="D24" s="7">
        <v>45.5</v>
      </c>
      <c r="E24" s="7">
        <v>98.1</v>
      </c>
      <c r="F24" s="9">
        <v>59.900000000000006</v>
      </c>
      <c r="G24" s="7">
        <v>82.096171344246201</v>
      </c>
      <c r="H24" s="7">
        <v>1.94</v>
      </c>
      <c r="I24" s="9">
        <v>1</v>
      </c>
      <c r="J24" s="7">
        <v>9.958791208791208</v>
      </c>
      <c r="K24" s="11">
        <v>5.1546848459616994</v>
      </c>
      <c r="L24" s="7">
        <v>52.82795946666667</v>
      </c>
      <c r="M24" s="9">
        <v>120.81211784265001</v>
      </c>
      <c r="N24" s="7">
        <v>54.666900207832875</v>
      </c>
      <c r="O24" s="9">
        <v>92.87</v>
      </c>
      <c r="P24" s="9">
        <v>181.94</v>
      </c>
      <c r="Q24" s="9">
        <v>58</v>
      </c>
      <c r="R24" s="6">
        <f t="shared" si="0"/>
        <v>9</v>
      </c>
      <c r="S24" s="6">
        <v>42</v>
      </c>
      <c r="T24" s="6">
        <f t="shared" si="1"/>
        <v>25</v>
      </c>
    </row>
    <row r="25" spans="1:20">
      <c r="A25" s="3">
        <v>3111</v>
      </c>
      <c r="B25" s="6" t="s">
        <v>19</v>
      </c>
      <c r="C25" s="6">
        <v>2</v>
      </c>
      <c r="D25" s="7">
        <v>44.926108374384235</v>
      </c>
      <c r="E25" s="7">
        <v>96.7</v>
      </c>
      <c r="F25" s="9">
        <v>59.739999999999995</v>
      </c>
      <c r="G25" s="7">
        <v>82.278327926497369</v>
      </c>
      <c r="H25" s="7">
        <v>1.72</v>
      </c>
      <c r="I25" s="9">
        <v>1</v>
      </c>
      <c r="J25" s="7">
        <v>9.6628289473684212</v>
      </c>
      <c r="K25" s="11">
        <v>5.2741062441461128</v>
      </c>
      <c r="L25" s="7">
        <v>57.91872788571429</v>
      </c>
      <c r="M25" s="9">
        <v>132.48982358573167</v>
      </c>
      <c r="N25" s="7">
        <v>57.324989496837787</v>
      </c>
      <c r="O25" s="9">
        <v>61.36</v>
      </c>
      <c r="P25" s="9">
        <v>170.17</v>
      </c>
      <c r="Q25" s="9">
        <v>55</v>
      </c>
      <c r="R25" s="6">
        <f t="shared" si="0"/>
        <v>18</v>
      </c>
      <c r="S25" s="6">
        <v>41</v>
      </c>
      <c r="T25" s="6">
        <f t="shared" si="1"/>
        <v>31</v>
      </c>
    </row>
    <row r="26" spans="1:20">
      <c r="A26" s="3">
        <v>3112</v>
      </c>
      <c r="B26" s="6" t="s">
        <v>20</v>
      </c>
      <c r="C26" s="6">
        <v>2</v>
      </c>
      <c r="D26" s="7">
        <v>42.300469483568072</v>
      </c>
      <c r="E26" s="7">
        <v>98.1</v>
      </c>
      <c r="F26" s="9">
        <v>61.150000000000006</v>
      </c>
      <c r="G26" s="7">
        <v>81.980383116498501</v>
      </c>
      <c r="H26" s="7">
        <v>1.9300000000000002</v>
      </c>
      <c r="I26" s="9">
        <v>1</v>
      </c>
      <c r="J26" s="7">
        <v>10.197003329633741</v>
      </c>
      <c r="K26" s="11">
        <v>4.6237637878945721</v>
      </c>
      <c r="L26" s="7">
        <v>47.982171459459451</v>
      </c>
      <c r="M26" s="9">
        <v>110.86369147908911</v>
      </c>
      <c r="N26" s="7">
        <v>45.683338046003563</v>
      </c>
      <c r="O26" s="9">
        <v>194.33</v>
      </c>
      <c r="P26" s="9">
        <v>142.41999999999999</v>
      </c>
      <c r="Q26" s="9">
        <v>38</v>
      </c>
      <c r="R26" s="6">
        <f t="shared" si="0"/>
        <v>110</v>
      </c>
      <c r="S26" s="6">
        <v>45</v>
      </c>
      <c r="T26" s="6">
        <f t="shared" si="1"/>
        <v>10</v>
      </c>
    </row>
    <row r="27" spans="1:20">
      <c r="A27" s="3">
        <v>3113</v>
      </c>
      <c r="B27" s="6" t="s">
        <v>21</v>
      </c>
      <c r="C27" s="6">
        <v>2</v>
      </c>
      <c r="D27" s="7">
        <v>46.443298969072167</v>
      </c>
      <c r="E27" s="7">
        <v>98.8</v>
      </c>
      <c r="F27" s="9">
        <v>65.28</v>
      </c>
      <c r="G27" s="7">
        <v>82.199454597286845</v>
      </c>
      <c r="H27" s="7">
        <v>1.49</v>
      </c>
      <c r="I27" s="9">
        <v>1</v>
      </c>
      <c r="J27" s="7">
        <v>9.9195338512763609</v>
      </c>
      <c r="K27" s="11">
        <v>4.645141582403836</v>
      </c>
      <c r="L27" s="7">
        <v>49.858286097902102</v>
      </c>
      <c r="M27" s="9">
        <v>121.6707048728707</v>
      </c>
      <c r="N27" s="7">
        <v>44.100818547425433</v>
      </c>
      <c r="O27" s="9">
        <v>99.22</v>
      </c>
      <c r="P27" s="9">
        <v>140.79</v>
      </c>
      <c r="Q27" s="9">
        <v>48</v>
      </c>
      <c r="R27" s="6">
        <f t="shared" si="0"/>
        <v>52</v>
      </c>
      <c r="S27" s="6">
        <v>45</v>
      </c>
      <c r="T27" s="6">
        <f t="shared" si="1"/>
        <v>10</v>
      </c>
    </row>
    <row r="28" spans="1:20">
      <c r="A28" s="3">
        <v>3114</v>
      </c>
      <c r="B28" s="6" t="s">
        <v>22</v>
      </c>
      <c r="C28" s="6">
        <v>2</v>
      </c>
      <c r="D28" s="7">
        <v>41.851851851851855</v>
      </c>
      <c r="E28" s="7">
        <v>98.4</v>
      </c>
      <c r="F28" s="9">
        <v>58.59</v>
      </c>
      <c r="G28" s="7">
        <v>82.470129311281084</v>
      </c>
      <c r="H28" s="7">
        <v>1.56</v>
      </c>
      <c r="I28" s="9">
        <v>1</v>
      </c>
      <c r="J28" s="7">
        <v>9.817477876106194</v>
      </c>
      <c r="K28" s="11">
        <v>4.7019996149443228</v>
      </c>
      <c r="L28" s="7">
        <v>48.517062335570465</v>
      </c>
      <c r="M28" s="9">
        <v>141.3188535544478</v>
      </c>
      <c r="N28" s="7">
        <v>47.006342168407237</v>
      </c>
      <c r="O28" s="9">
        <v>26.52</v>
      </c>
      <c r="P28" s="9">
        <v>153.41999999999999</v>
      </c>
      <c r="Q28" s="9">
        <v>47</v>
      </c>
      <c r="R28" s="6">
        <f t="shared" si="0"/>
        <v>62</v>
      </c>
      <c r="S28" s="6">
        <v>45</v>
      </c>
      <c r="T28" s="6">
        <f t="shared" si="1"/>
        <v>10</v>
      </c>
    </row>
    <row r="29" spans="1:20">
      <c r="A29" s="3">
        <v>3115</v>
      </c>
      <c r="B29" s="6" t="s">
        <v>23</v>
      </c>
      <c r="C29" s="6">
        <v>2</v>
      </c>
      <c r="D29" s="7">
        <v>48.244680851063826</v>
      </c>
      <c r="E29" s="7">
        <v>97.5</v>
      </c>
      <c r="F29" s="9">
        <v>60.69</v>
      </c>
      <c r="G29" s="7">
        <v>83.006890659520764</v>
      </c>
      <c r="H29" s="7">
        <v>1.5</v>
      </c>
      <c r="I29" s="9">
        <v>1</v>
      </c>
      <c r="J29" s="7">
        <v>9.6471885336273431</v>
      </c>
      <c r="K29" s="11">
        <v>4.6359595505617976</v>
      </c>
      <c r="L29" s="7">
        <v>51.293056920863314</v>
      </c>
      <c r="M29" s="9">
        <v>136.85286364741873</v>
      </c>
      <c r="N29" s="7">
        <v>38.521846946611866</v>
      </c>
      <c r="O29" s="9">
        <v>35.97</v>
      </c>
      <c r="P29" s="9">
        <v>140.63999999999999</v>
      </c>
      <c r="Q29" s="9">
        <v>44</v>
      </c>
      <c r="R29" s="6">
        <f t="shared" si="0"/>
        <v>82</v>
      </c>
      <c r="S29" s="6">
        <v>40</v>
      </c>
      <c r="T29" s="6">
        <f t="shared" si="1"/>
        <v>45</v>
      </c>
    </row>
    <row r="30" spans="1:20">
      <c r="A30" s="3">
        <v>3116</v>
      </c>
      <c r="B30" s="6" t="s">
        <v>24</v>
      </c>
      <c r="C30" s="6">
        <v>2</v>
      </c>
      <c r="D30" s="7">
        <v>44.213075060532688</v>
      </c>
      <c r="E30" s="7">
        <v>98.4</v>
      </c>
      <c r="F30" s="9">
        <v>63.180000000000007</v>
      </c>
      <c r="G30" s="7">
        <v>83.429940773203626</v>
      </c>
      <c r="H30" s="7">
        <v>1.97</v>
      </c>
      <c r="I30" s="9">
        <v>2</v>
      </c>
      <c r="J30" s="7">
        <v>10.199890470974809</v>
      </c>
      <c r="K30" s="11">
        <v>5.1639133326394679</v>
      </c>
      <c r="L30" s="7">
        <v>54.37247046575343</v>
      </c>
      <c r="M30" s="9">
        <v>144.2271285872952</v>
      </c>
      <c r="N30" s="7">
        <v>53.128359085633853</v>
      </c>
      <c r="O30" s="9">
        <v>24.89</v>
      </c>
      <c r="P30" s="9">
        <v>180.02</v>
      </c>
      <c r="Q30" s="9">
        <v>57</v>
      </c>
      <c r="R30" s="6">
        <f t="shared" si="0"/>
        <v>13</v>
      </c>
      <c r="S30" s="6">
        <v>41</v>
      </c>
      <c r="T30" s="6">
        <f t="shared" si="1"/>
        <v>31</v>
      </c>
    </row>
    <row r="31" spans="1:20">
      <c r="A31" s="3">
        <v>3117</v>
      </c>
      <c r="B31" s="6" t="s">
        <v>25</v>
      </c>
      <c r="C31" s="6">
        <v>2</v>
      </c>
      <c r="D31" s="7">
        <v>39.955555555555556</v>
      </c>
      <c r="E31" s="7">
        <v>95.9</v>
      </c>
      <c r="F31" s="9">
        <v>57.480000000000004</v>
      </c>
      <c r="G31" s="7">
        <v>82.729011022073692</v>
      </c>
      <c r="H31" s="7">
        <v>1.74</v>
      </c>
      <c r="I31" s="9">
        <v>2</v>
      </c>
      <c r="J31" s="7">
        <v>9.5939933259176851</v>
      </c>
      <c r="K31" s="11">
        <v>4.4380963024684927</v>
      </c>
      <c r="L31" s="7">
        <v>49.403087072463769</v>
      </c>
      <c r="M31" s="9">
        <v>131.4342541277519</v>
      </c>
      <c r="N31" s="7">
        <v>38.180548871201573</v>
      </c>
      <c r="O31" s="9">
        <v>91.68</v>
      </c>
      <c r="P31" s="9">
        <v>137.31</v>
      </c>
      <c r="Q31" s="9">
        <v>40</v>
      </c>
      <c r="R31" s="6">
        <f t="shared" si="0"/>
        <v>101</v>
      </c>
      <c r="S31" s="6">
        <v>40</v>
      </c>
      <c r="T31" s="6">
        <f t="shared" si="1"/>
        <v>45</v>
      </c>
    </row>
    <row r="32" spans="1:20">
      <c r="A32" s="3">
        <v>3119</v>
      </c>
      <c r="B32" s="6" t="s">
        <v>27</v>
      </c>
      <c r="C32" s="6">
        <v>2</v>
      </c>
      <c r="D32" s="7">
        <v>46.981627296587924</v>
      </c>
      <c r="E32" s="7">
        <v>97.2</v>
      </c>
      <c r="F32" s="9">
        <v>66.510000000000005</v>
      </c>
      <c r="G32" s="7">
        <v>83.340932152326673</v>
      </c>
      <c r="H32" s="7">
        <v>1.97</v>
      </c>
      <c r="I32" s="9">
        <v>2</v>
      </c>
      <c r="J32" s="7">
        <v>10.125698324022347</v>
      </c>
      <c r="K32" s="11">
        <v>5.368634000830049</v>
      </c>
      <c r="L32" s="7">
        <v>54.466204736842109</v>
      </c>
      <c r="M32" s="9">
        <v>143.35773457226807</v>
      </c>
      <c r="N32" s="7">
        <v>59.467610338232483</v>
      </c>
      <c r="O32" s="9">
        <v>41.59</v>
      </c>
      <c r="P32" s="9">
        <v>200.54</v>
      </c>
      <c r="Q32" s="9">
        <v>57</v>
      </c>
      <c r="R32" s="6">
        <f t="shared" si="0"/>
        <v>13</v>
      </c>
      <c r="S32" s="6">
        <v>38</v>
      </c>
      <c r="T32" s="6">
        <f t="shared" si="1"/>
        <v>67</v>
      </c>
    </row>
    <row r="33" spans="1:20">
      <c r="A33" s="3">
        <v>3120</v>
      </c>
      <c r="B33" s="6" t="s">
        <v>28</v>
      </c>
      <c r="C33" s="6">
        <v>2</v>
      </c>
      <c r="D33" s="7">
        <v>43.438256658595641</v>
      </c>
      <c r="E33" s="7">
        <v>96.4</v>
      </c>
      <c r="F33" s="9">
        <v>65.78</v>
      </c>
      <c r="G33" s="7">
        <v>82.639734122653152</v>
      </c>
      <c r="H33" s="7">
        <v>1.85</v>
      </c>
      <c r="I33" s="9">
        <v>1</v>
      </c>
      <c r="J33" s="7">
        <v>10.172798216276476</v>
      </c>
      <c r="K33" s="11">
        <v>5.3476929773530024</v>
      </c>
      <c r="L33" s="7">
        <v>53.137437522580655</v>
      </c>
      <c r="M33" s="9">
        <v>140.12940292598333</v>
      </c>
      <c r="N33" s="7">
        <v>52.735035008198025</v>
      </c>
      <c r="O33" s="9">
        <v>46.15</v>
      </c>
      <c r="P33" s="9">
        <v>184.96</v>
      </c>
      <c r="Q33" s="9">
        <v>58</v>
      </c>
      <c r="R33" s="6">
        <f t="shared" si="0"/>
        <v>9</v>
      </c>
      <c r="S33" s="6">
        <v>42</v>
      </c>
      <c r="T33" s="6">
        <f t="shared" si="1"/>
        <v>25</v>
      </c>
    </row>
    <row r="34" spans="1:20">
      <c r="A34" s="3">
        <v>3121</v>
      </c>
      <c r="B34" s="6" t="s">
        <v>29</v>
      </c>
      <c r="C34" s="6">
        <v>2</v>
      </c>
      <c r="D34" s="7">
        <v>48.247978436657682</v>
      </c>
      <c r="E34" s="7">
        <v>98.6</v>
      </c>
      <c r="F34" s="9">
        <v>58.34</v>
      </c>
      <c r="G34" s="7">
        <v>82.243565213501157</v>
      </c>
      <c r="H34" s="7">
        <v>1.83</v>
      </c>
      <c r="I34" s="9">
        <v>1</v>
      </c>
      <c r="J34" s="7">
        <v>10.335195530726256</v>
      </c>
      <c r="K34" s="11">
        <v>5.1666888357588352</v>
      </c>
      <c r="L34" s="7">
        <v>52.666009642384104</v>
      </c>
      <c r="M34" s="9">
        <v>130.03827471932203</v>
      </c>
      <c r="N34" s="7">
        <v>41.895289353047652</v>
      </c>
      <c r="O34" s="9">
        <v>65.64</v>
      </c>
      <c r="P34" s="9">
        <v>176.79</v>
      </c>
      <c r="Q34" s="9">
        <v>52</v>
      </c>
      <c r="R34" s="6">
        <f t="shared" si="0"/>
        <v>28</v>
      </c>
      <c r="S34" s="6">
        <v>46</v>
      </c>
      <c r="T34" s="6">
        <f t="shared" si="1"/>
        <v>5</v>
      </c>
    </row>
    <row r="35" spans="1:20">
      <c r="A35" s="3">
        <v>3122</v>
      </c>
      <c r="B35" s="6" t="s">
        <v>30</v>
      </c>
      <c r="C35" s="6">
        <v>2</v>
      </c>
      <c r="D35" s="7">
        <v>45.837563451776653</v>
      </c>
      <c r="E35" s="7">
        <v>97.3</v>
      </c>
      <c r="F35" s="9">
        <v>65.959999999999994</v>
      </c>
      <c r="G35" s="7">
        <v>83.223746551470597</v>
      </c>
      <c r="H35" s="7">
        <v>1.7</v>
      </c>
      <c r="I35" s="9">
        <v>1</v>
      </c>
      <c r="J35" s="7">
        <v>9.5514950166112964</v>
      </c>
      <c r="K35" s="11">
        <v>4.8333704458069207</v>
      </c>
      <c r="L35" s="7">
        <v>52.407350760563375</v>
      </c>
      <c r="M35" s="9">
        <v>107.92338695453095</v>
      </c>
      <c r="N35" s="7">
        <v>54.278372652868171</v>
      </c>
      <c r="O35" s="9">
        <v>121.71</v>
      </c>
      <c r="P35" s="9">
        <v>178.55</v>
      </c>
      <c r="Q35" s="9">
        <v>48</v>
      </c>
      <c r="R35" s="6">
        <f t="shared" si="0"/>
        <v>52</v>
      </c>
      <c r="S35" s="6">
        <v>44</v>
      </c>
      <c r="T35" s="6">
        <f t="shared" si="1"/>
        <v>15</v>
      </c>
    </row>
    <row r="36" spans="1:20">
      <c r="A36" s="3">
        <v>3123</v>
      </c>
      <c r="B36" s="6" t="s">
        <v>31</v>
      </c>
      <c r="C36" s="6">
        <v>2</v>
      </c>
      <c r="D36" s="7">
        <v>44.444444444444443</v>
      </c>
      <c r="E36" s="7">
        <v>98.4</v>
      </c>
      <c r="F36" s="9">
        <v>56.44</v>
      </c>
      <c r="G36" s="7">
        <v>82.711122011393698</v>
      </c>
      <c r="H36" s="7">
        <v>1.62</v>
      </c>
      <c r="I36" s="9">
        <v>1</v>
      </c>
      <c r="J36" s="7">
        <v>10</v>
      </c>
      <c r="K36" s="11">
        <v>4.9803803143868421</v>
      </c>
      <c r="L36" s="7">
        <v>54.288264737588669</v>
      </c>
      <c r="M36" s="9">
        <v>118.44509372456123</v>
      </c>
      <c r="N36" s="7">
        <v>45.366788913367024</v>
      </c>
      <c r="O36" s="9">
        <v>89.42</v>
      </c>
      <c r="P36" s="9">
        <v>167.41</v>
      </c>
      <c r="Q36" s="9">
        <v>49</v>
      </c>
      <c r="R36" s="6">
        <f t="shared" si="0"/>
        <v>47</v>
      </c>
      <c r="S36" s="6">
        <v>49</v>
      </c>
      <c r="T36" s="6">
        <f t="shared" si="1"/>
        <v>1</v>
      </c>
    </row>
    <row r="37" spans="1:20">
      <c r="A37" s="3">
        <v>3124</v>
      </c>
      <c r="B37" s="6" t="s">
        <v>32</v>
      </c>
      <c r="C37" s="6">
        <v>2</v>
      </c>
      <c r="D37" s="7">
        <v>44.641975308641975</v>
      </c>
      <c r="E37" s="7">
        <v>98.5</v>
      </c>
      <c r="F37" s="9">
        <v>54.239999999999995</v>
      </c>
      <c r="G37" s="7">
        <v>82.053174098885648</v>
      </c>
      <c r="H37" s="7">
        <v>1.9100000000000001</v>
      </c>
      <c r="I37" s="9">
        <v>2</v>
      </c>
      <c r="J37" s="7">
        <v>10.785398230088495</v>
      </c>
      <c r="K37" s="11">
        <v>4.9542363219827141</v>
      </c>
      <c r="L37" s="7">
        <v>49.110225961290325</v>
      </c>
      <c r="M37" s="9">
        <v>155.12685293399483</v>
      </c>
      <c r="N37" s="7">
        <v>50.356546557236207</v>
      </c>
      <c r="O37" s="9">
        <v>141.94</v>
      </c>
      <c r="P37" s="9">
        <v>156.38</v>
      </c>
      <c r="Q37" s="9">
        <v>50</v>
      </c>
      <c r="R37" s="6">
        <f t="shared" si="0"/>
        <v>41</v>
      </c>
      <c r="S37" s="6">
        <v>36</v>
      </c>
      <c r="T37" s="6">
        <f t="shared" si="1"/>
        <v>84</v>
      </c>
    </row>
    <row r="38" spans="1:20">
      <c r="A38" s="3">
        <v>3125</v>
      </c>
      <c r="B38" s="6" t="s">
        <v>33</v>
      </c>
      <c r="C38" s="6">
        <v>2</v>
      </c>
      <c r="D38" s="7">
        <v>41.926605504587158</v>
      </c>
      <c r="E38" s="7">
        <v>98.4</v>
      </c>
      <c r="F38" s="9">
        <v>55.760000000000005</v>
      </c>
      <c r="G38" s="7">
        <v>81.893336053024427</v>
      </c>
      <c r="H38" s="7">
        <v>1.9</v>
      </c>
      <c r="I38" s="9">
        <v>2</v>
      </c>
      <c r="J38" s="7">
        <v>10.393873085339168</v>
      </c>
      <c r="K38" s="11">
        <v>4.7496201124297315</v>
      </c>
      <c r="L38" s="7">
        <v>49.999836493150696</v>
      </c>
      <c r="M38" s="9">
        <v>136.30064500251217</v>
      </c>
      <c r="N38" s="7">
        <v>44.924904605769299</v>
      </c>
      <c r="O38" s="9">
        <v>115.04</v>
      </c>
      <c r="P38" s="9">
        <v>150.1</v>
      </c>
      <c r="Q38" s="9">
        <v>42</v>
      </c>
      <c r="R38" s="6">
        <f t="shared" ref="R38:R69" si="2">RANK(Q38,$Q$6:$Q$125)</f>
        <v>95</v>
      </c>
      <c r="S38" s="6">
        <v>40</v>
      </c>
      <c r="T38" s="6">
        <f t="shared" ref="T38:T69" si="3">RANK(S38,$S$6:$S$125)</f>
        <v>45</v>
      </c>
    </row>
    <row r="39" spans="1:20">
      <c r="A39" s="3">
        <v>3126</v>
      </c>
      <c r="B39" s="6" t="s">
        <v>34</v>
      </c>
      <c r="C39" s="6">
        <v>2</v>
      </c>
      <c r="D39" s="7">
        <v>38.927038626609445</v>
      </c>
      <c r="E39" s="7">
        <v>97.3</v>
      </c>
      <c r="F39" s="9">
        <v>56.92</v>
      </c>
      <c r="G39" s="7">
        <v>82.925160724401863</v>
      </c>
      <c r="H39" s="7">
        <v>2.11</v>
      </c>
      <c r="I39" s="9">
        <v>2</v>
      </c>
      <c r="J39" s="7">
        <v>9.8539140022050713</v>
      </c>
      <c r="K39" s="11">
        <v>4.7015103329864729</v>
      </c>
      <c r="L39" s="7">
        <v>52.007498474820146</v>
      </c>
      <c r="M39" s="9">
        <v>136.41062536518231</v>
      </c>
      <c r="N39" s="7">
        <v>50.274563847331301</v>
      </c>
      <c r="O39" s="9">
        <v>124.55</v>
      </c>
      <c r="P39" s="9">
        <v>150.99</v>
      </c>
      <c r="Q39" s="9">
        <v>43</v>
      </c>
      <c r="R39" s="6">
        <f t="shared" si="2"/>
        <v>90</v>
      </c>
      <c r="S39" s="6">
        <v>38</v>
      </c>
      <c r="T39" s="6">
        <f t="shared" si="3"/>
        <v>67</v>
      </c>
    </row>
    <row r="40" spans="1:20">
      <c r="A40" s="3">
        <v>3127</v>
      </c>
      <c r="B40" s="6" t="s">
        <v>35</v>
      </c>
      <c r="C40" s="6">
        <v>2</v>
      </c>
      <c r="D40" s="7">
        <v>44.068627450980394</v>
      </c>
      <c r="E40" s="7">
        <v>98.1</v>
      </c>
      <c r="F40" s="9">
        <v>53.67</v>
      </c>
      <c r="G40" s="7">
        <v>82.597118310756628</v>
      </c>
      <c r="H40" s="7">
        <v>1.75</v>
      </c>
      <c r="I40" s="9">
        <v>2</v>
      </c>
      <c r="J40" s="7">
        <v>9.3159065628476085</v>
      </c>
      <c r="K40" s="11">
        <v>4.8172418645833348</v>
      </c>
      <c r="L40" s="7">
        <v>56.917565415384637</v>
      </c>
      <c r="M40" s="9">
        <v>121.18931168358959</v>
      </c>
      <c r="N40" s="7">
        <v>44.386110254109468</v>
      </c>
      <c r="O40" s="9">
        <v>80.33</v>
      </c>
      <c r="P40" s="9">
        <v>159.49</v>
      </c>
      <c r="Q40" s="9">
        <v>51</v>
      </c>
      <c r="R40" s="6">
        <f t="shared" si="2"/>
        <v>35</v>
      </c>
      <c r="S40" s="6">
        <v>40</v>
      </c>
      <c r="T40" s="6">
        <f t="shared" si="3"/>
        <v>45</v>
      </c>
    </row>
    <row r="41" spans="1:20">
      <c r="A41" s="3">
        <v>3128</v>
      </c>
      <c r="B41" s="6" t="s">
        <v>36</v>
      </c>
      <c r="C41" s="6">
        <v>2</v>
      </c>
      <c r="D41" s="7">
        <v>43.707317073170735</v>
      </c>
      <c r="E41" s="7">
        <v>99.1</v>
      </c>
      <c r="F41" s="9">
        <v>60.980000000000004</v>
      </c>
      <c r="G41" s="7">
        <v>83.158445523352512</v>
      </c>
      <c r="H41" s="7">
        <v>1.6400000000000001</v>
      </c>
      <c r="I41" s="9">
        <v>1</v>
      </c>
      <c r="J41" s="7">
        <v>9.9051339285714288</v>
      </c>
      <c r="K41" s="11">
        <v>4.9065005840634139</v>
      </c>
      <c r="L41" s="7">
        <v>54.94134610218979</v>
      </c>
      <c r="M41" s="9">
        <v>160.93284691692176</v>
      </c>
      <c r="N41" s="7">
        <v>54.056499623269644</v>
      </c>
      <c r="O41" s="9">
        <v>53.62</v>
      </c>
      <c r="P41" s="9">
        <v>160.86000000000001</v>
      </c>
      <c r="Q41" s="9">
        <v>55</v>
      </c>
      <c r="R41" s="6">
        <f t="shared" si="2"/>
        <v>18</v>
      </c>
      <c r="S41" s="6">
        <v>46</v>
      </c>
      <c r="T41" s="6">
        <f t="shared" si="3"/>
        <v>5</v>
      </c>
    </row>
    <row r="42" spans="1:20">
      <c r="A42" s="3">
        <v>3129</v>
      </c>
      <c r="B42" s="6" t="s">
        <v>37</v>
      </c>
      <c r="C42" s="6">
        <v>2</v>
      </c>
      <c r="D42" s="7">
        <v>46.579634464751955</v>
      </c>
      <c r="E42" s="7">
        <v>98.9</v>
      </c>
      <c r="F42" s="9">
        <v>58.36</v>
      </c>
      <c r="G42" s="7">
        <v>83.143620301460174</v>
      </c>
      <c r="H42" s="7">
        <v>1.6400000000000001</v>
      </c>
      <c r="I42" s="9">
        <v>1</v>
      </c>
      <c r="J42" s="7">
        <v>10.299887892376681</v>
      </c>
      <c r="K42" s="11">
        <v>4.5418017750861441</v>
      </c>
      <c r="L42" s="7">
        <v>47.023606054054049</v>
      </c>
      <c r="M42" s="9">
        <v>129.01814326946834</v>
      </c>
      <c r="N42" s="7">
        <v>40.174130405380254</v>
      </c>
      <c r="O42" s="9">
        <v>251.44</v>
      </c>
      <c r="P42" s="9">
        <v>137.26</v>
      </c>
      <c r="Q42" s="9">
        <v>41</v>
      </c>
      <c r="R42" s="6">
        <f t="shared" si="2"/>
        <v>97</v>
      </c>
      <c r="S42" s="6">
        <v>38</v>
      </c>
      <c r="T42" s="6">
        <f t="shared" si="3"/>
        <v>67</v>
      </c>
    </row>
    <row r="43" spans="1:20">
      <c r="A43" s="3">
        <v>3130</v>
      </c>
      <c r="B43" s="6" t="s">
        <v>38</v>
      </c>
      <c r="C43" s="6">
        <v>2</v>
      </c>
      <c r="D43" s="7">
        <v>42.523809523809526</v>
      </c>
      <c r="E43" s="7">
        <v>96.9</v>
      </c>
      <c r="F43" s="9">
        <v>60.400000000000006</v>
      </c>
      <c r="G43" s="7">
        <v>83.238258962912681</v>
      </c>
      <c r="H43" s="7">
        <v>1.6600000000000001</v>
      </c>
      <c r="I43" s="9">
        <v>1</v>
      </c>
      <c r="J43" s="7">
        <v>9.8684210526315788</v>
      </c>
      <c r="K43" s="11">
        <v>5.0375451017214399</v>
      </c>
      <c r="L43" s="7">
        <v>54.025029146853143</v>
      </c>
      <c r="M43" s="9">
        <v>153.40256237348297</v>
      </c>
      <c r="N43" s="7">
        <v>54.947768409119007</v>
      </c>
      <c r="O43" s="9">
        <v>35.200000000000003</v>
      </c>
      <c r="P43" s="9">
        <v>175.41</v>
      </c>
      <c r="Q43" s="9">
        <v>55</v>
      </c>
      <c r="R43" s="6">
        <f t="shared" si="2"/>
        <v>18</v>
      </c>
      <c r="S43" s="6">
        <v>46</v>
      </c>
      <c r="T43" s="6">
        <f t="shared" si="3"/>
        <v>5</v>
      </c>
    </row>
    <row r="44" spans="1:20">
      <c r="A44" s="3">
        <v>3131</v>
      </c>
      <c r="B44" s="6" t="s">
        <v>39</v>
      </c>
      <c r="C44" s="6">
        <v>2</v>
      </c>
      <c r="D44" s="7">
        <v>43.685503685503683</v>
      </c>
      <c r="E44" s="7">
        <v>97.5</v>
      </c>
      <c r="F44" s="9">
        <v>56.989999999999995</v>
      </c>
      <c r="G44" s="7">
        <v>82.627444517688431</v>
      </c>
      <c r="H44" s="7">
        <v>1.54</v>
      </c>
      <c r="I44" s="9">
        <v>1</v>
      </c>
      <c r="J44" s="7">
        <v>9.7722159730033731</v>
      </c>
      <c r="K44" s="11">
        <v>4.844950395833334</v>
      </c>
      <c r="L44" s="7">
        <v>53.538444661870514</v>
      </c>
      <c r="M44" s="9">
        <v>140.70525754239688</v>
      </c>
      <c r="N44" s="7">
        <v>41.404361340487306</v>
      </c>
      <c r="O44" s="9">
        <v>93.16</v>
      </c>
      <c r="P44" s="9">
        <v>163.13999999999999</v>
      </c>
      <c r="Q44" s="9">
        <v>52</v>
      </c>
      <c r="R44" s="6">
        <f t="shared" si="2"/>
        <v>28</v>
      </c>
      <c r="S44" s="6">
        <v>41</v>
      </c>
      <c r="T44" s="6">
        <f t="shared" si="3"/>
        <v>31</v>
      </c>
    </row>
    <row r="45" spans="1:20">
      <c r="A45" s="3">
        <v>3132</v>
      </c>
      <c r="B45" s="6" t="s">
        <v>40</v>
      </c>
      <c r="C45" s="6">
        <v>2</v>
      </c>
      <c r="D45" s="7">
        <v>48.130081300813011</v>
      </c>
      <c r="E45" s="7">
        <v>97.7</v>
      </c>
      <c r="F45" s="9">
        <v>70.25</v>
      </c>
      <c r="G45" s="7">
        <v>82.422838565047698</v>
      </c>
      <c r="H45" s="7">
        <v>1.53</v>
      </c>
      <c r="I45" s="9">
        <v>1</v>
      </c>
      <c r="J45" s="7">
        <v>11.542792792792794</v>
      </c>
      <c r="K45" s="11">
        <v>5.457380468994268</v>
      </c>
      <c r="L45" s="7">
        <v>49.283355858823526</v>
      </c>
      <c r="M45" s="9">
        <v>153.56681043129754</v>
      </c>
      <c r="N45" s="7">
        <v>49.218823154321612</v>
      </c>
      <c r="O45" s="9">
        <v>156.66</v>
      </c>
      <c r="P45" s="9">
        <v>194.43</v>
      </c>
      <c r="Q45" s="9">
        <v>53</v>
      </c>
      <c r="R45" s="6">
        <f t="shared" si="2"/>
        <v>25</v>
      </c>
      <c r="S45" s="6">
        <v>25</v>
      </c>
      <c r="T45" s="6">
        <f t="shared" si="3"/>
        <v>118</v>
      </c>
    </row>
    <row r="46" spans="1:20">
      <c r="A46" s="3">
        <v>3133</v>
      </c>
      <c r="B46" s="6" t="s">
        <v>41</v>
      </c>
      <c r="C46" s="6">
        <v>2</v>
      </c>
      <c r="D46" s="7">
        <v>47.870619946091644</v>
      </c>
      <c r="E46" s="7">
        <v>99</v>
      </c>
      <c r="F46" s="9">
        <v>67.34</v>
      </c>
      <c r="G46" s="7">
        <v>82.58987669062283</v>
      </c>
      <c r="H46" s="7">
        <v>1.8</v>
      </c>
      <c r="I46" s="9">
        <v>2</v>
      </c>
      <c r="J46" s="7">
        <v>9.642454954954955</v>
      </c>
      <c r="K46" s="11">
        <v>4.5373207266291899</v>
      </c>
      <c r="L46" s="7">
        <v>48.766996251748253</v>
      </c>
      <c r="M46" s="9">
        <v>137.61528449220748</v>
      </c>
      <c r="N46" s="7">
        <v>40.743999233883073</v>
      </c>
      <c r="O46" s="9">
        <v>139.16</v>
      </c>
      <c r="P46" s="9">
        <v>140.11000000000001</v>
      </c>
      <c r="Q46" s="9">
        <v>43</v>
      </c>
      <c r="R46" s="6">
        <f t="shared" si="2"/>
        <v>90</v>
      </c>
      <c r="S46" s="6">
        <v>35</v>
      </c>
      <c r="T46" s="6">
        <f t="shared" si="3"/>
        <v>92</v>
      </c>
    </row>
    <row r="47" spans="1:20">
      <c r="A47" s="3">
        <v>3134</v>
      </c>
      <c r="B47" s="6" t="s">
        <v>42</v>
      </c>
      <c r="C47" s="6">
        <v>2</v>
      </c>
      <c r="D47" s="7">
        <v>45.038167938931295</v>
      </c>
      <c r="E47" s="7">
        <v>97.8</v>
      </c>
      <c r="F47" s="9">
        <v>60.430000000000007</v>
      </c>
      <c r="G47" s="7">
        <v>82.627444517688431</v>
      </c>
      <c r="H47" s="7" t="s">
        <v>166</v>
      </c>
      <c r="I47" s="9">
        <v>3</v>
      </c>
      <c r="J47" s="7">
        <v>9.7457627118644066</v>
      </c>
      <c r="K47" s="11">
        <v>4.715643916666667</v>
      </c>
      <c r="L47" s="7">
        <v>53.653548562962968</v>
      </c>
      <c r="M47" s="9">
        <v>115.89085991979294</v>
      </c>
      <c r="N47" s="7">
        <v>43.734020366916383</v>
      </c>
      <c r="O47" s="9">
        <v>86.51</v>
      </c>
      <c r="P47" s="9">
        <v>150.72</v>
      </c>
      <c r="Q47" s="9">
        <v>43</v>
      </c>
      <c r="R47" s="6">
        <f t="shared" si="2"/>
        <v>90</v>
      </c>
      <c r="S47" s="6">
        <v>42</v>
      </c>
      <c r="T47" s="6">
        <f t="shared" si="3"/>
        <v>25</v>
      </c>
    </row>
    <row r="48" spans="1:20">
      <c r="A48" s="3">
        <v>3135</v>
      </c>
      <c r="B48" s="6" t="s">
        <v>43</v>
      </c>
      <c r="C48" s="6">
        <v>2</v>
      </c>
      <c r="D48" s="7">
        <v>45.089058524173026</v>
      </c>
      <c r="E48" s="7">
        <v>98.6</v>
      </c>
      <c r="F48" s="9">
        <v>56.72</v>
      </c>
      <c r="G48" s="7">
        <v>82.314690548876769</v>
      </c>
      <c r="H48" s="7" t="s">
        <v>166</v>
      </c>
      <c r="I48" s="9">
        <v>3</v>
      </c>
      <c r="J48" s="7">
        <v>10.933972911963883</v>
      </c>
      <c r="K48" s="11">
        <v>4.9471033086316663</v>
      </c>
      <c r="L48" s="7">
        <v>47.1037980621118</v>
      </c>
      <c r="M48" s="9">
        <v>122.18579500682</v>
      </c>
      <c r="N48" s="7">
        <v>52.308755569749572</v>
      </c>
      <c r="O48" s="9">
        <v>267.77</v>
      </c>
      <c r="P48" s="9">
        <v>161.44</v>
      </c>
      <c r="Q48" s="9">
        <v>46</v>
      </c>
      <c r="R48" s="6">
        <f t="shared" si="2"/>
        <v>72</v>
      </c>
      <c r="S48" s="6">
        <v>32</v>
      </c>
      <c r="T48" s="6">
        <f t="shared" si="3"/>
        <v>106</v>
      </c>
    </row>
    <row r="49" spans="1:20">
      <c r="A49" s="3">
        <v>3136</v>
      </c>
      <c r="B49" s="6" t="s">
        <v>44</v>
      </c>
      <c r="C49" s="6">
        <v>2</v>
      </c>
      <c r="D49" s="7">
        <v>47.816711590296499</v>
      </c>
      <c r="E49" s="7">
        <v>97.7</v>
      </c>
      <c r="F49" s="9">
        <v>66.52</v>
      </c>
      <c r="G49" s="7">
        <v>82.17951157633766</v>
      </c>
      <c r="H49" s="7">
        <v>1.8</v>
      </c>
      <c r="I49" s="9">
        <v>2</v>
      </c>
      <c r="J49" s="7">
        <v>10.005636978579481</v>
      </c>
      <c r="K49" s="11">
        <v>4.5802699811990806</v>
      </c>
      <c r="L49" s="7">
        <v>47.729529034013595</v>
      </c>
      <c r="M49" s="9">
        <v>133.53925286127736</v>
      </c>
      <c r="N49" s="7">
        <v>45.868748129665413</v>
      </c>
      <c r="O49" s="9">
        <v>205.43</v>
      </c>
      <c r="P49" s="9">
        <v>141.12</v>
      </c>
      <c r="Q49" s="9">
        <v>40</v>
      </c>
      <c r="R49" s="6">
        <f t="shared" si="2"/>
        <v>101</v>
      </c>
      <c r="S49" s="6">
        <v>37</v>
      </c>
      <c r="T49" s="6">
        <f t="shared" si="3"/>
        <v>75</v>
      </c>
    </row>
    <row r="50" spans="1:20">
      <c r="A50" s="3">
        <v>3137</v>
      </c>
      <c r="B50" s="6" t="s">
        <v>45</v>
      </c>
      <c r="C50" s="6">
        <v>2</v>
      </c>
      <c r="D50" s="7">
        <v>44.522613065326631</v>
      </c>
      <c r="E50" s="7">
        <v>97.3</v>
      </c>
      <c r="F50" s="9">
        <v>55.7</v>
      </c>
      <c r="G50" s="7">
        <v>82.148404849223567</v>
      </c>
      <c r="H50" s="7">
        <v>1.6099999999999999</v>
      </c>
      <c r="I50" s="9">
        <v>1</v>
      </c>
      <c r="J50" s="7">
        <v>9.5231376975169315</v>
      </c>
      <c r="K50" s="11">
        <v>4.6733574958298583</v>
      </c>
      <c r="L50" s="7">
        <v>53.524591164179107</v>
      </c>
      <c r="M50" s="9">
        <v>124.25198293835294</v>
      </c>
      <c r="N50" s="7">
        <v>47.082674308878275</v>
      </c>
      <c r="O50" s="9">
        <v>56.75</v>
      </c>
      <c r="P50" s="9">
        <v>148.38999999999999</v>
      </c>
      <c r="Q50" s="9">
        <v>48</v>
      </c>
      <c r="R50" s="6">
        <f t="shared" si="2"/>
        <v>52</v>
      </c>
      <c r="S50" s="6">
        <v>40</v>
      </c>
      <c r="T50" s="6">
        <f t="shared" si="3"/>
        <v>45</v>
      </c>
    </row>
    <row r="51" spans="1:20">
      <c r="A51" s="3">
        <v>3138</v>
      </c>
      <c r="B51" s="6" t="s">
        <v>46</v>
      </c>
      <c r="C51" s="6">
        <v>2</v>
      </c>
      <c r="D51" s="7">
        <v>44.289276807980052</v>
      </c>
      <c r="E51" s="7">
        <v>97.4</v>
      </c>
      <c r="F51" s="9">
        <v>62.81</v>
      </c>
      <c r="G51" s="7">
        <v>82.21675078778388</v>
      </c>
      <c r="H51" s="7">
        <v>1.71</v>
      </c>
      <c r="I51" s="9">
        <v>2</v>
      </c>
      <c r="J51" s="7">
        <v>9.360923423423424</v>
      </c>
      <c r="K51" s="11">
        <v>4.4353245133756642</v>
      </c>
      <c r="L51" s="7">
        <v>47.675706405594411</v>
      </c>
      <c r="M51" s="9">
        <v>105.51720522637969</v>
      </c>
      <c r="N51" s="7">
        <v>49.684112304947909</v>
      </c>
      <c r="O51" s="9">
        <v>122.33</v>
      </c>
      <c r="P51" s="9">
        <v>138.97999999999999</v>
      </c>
      <c r="Q51" s="9">
        <v>40</v>
      </c>
      <c r="R51" s="6">
        <f t="shared" si="2"/>
        <v>101</v>
      </c>
      <c r="S51" s="6">
        <v>46</v>
      </c>
      <c r="T51" s="6">
        <f t="shared" si="3"/>
        <v>5</v>
      </c>
    </row>
    <row r="52" spans="1:20">
      <c r="A52" s="3">
        <v>3139</v>
      </c>
      <c r="B52" s="6" t="s">
        <v>47</v>
      </c>
      <c r="C52" s="6">
        <v>2</v>
      </c>
      <c r="D52" s="7">
        <v>38.484848484848484</v>
      </c>
      <c r="E52" s="7">
        <v>96.6</v>
      </c>
      <c r="F52" s="9">
        <v>61.489999999999995</v>
      </c>
      <c r="G52" s="7">
        <v>82.208531874497069</v>
      </c>
      <c r="H52" s="7">
        <v>1.75</v>
      </c>
      <c r="I52" s="9">
        <v>1</v>
      </c>
      <c r="J52" s="7">
        <v>9.4910011248593928</v>
      </c>
      <c r="K52" s="11">
        <v>4.5721514753414656</v>
      </c>
      <c r="L52" s="7">
        <v>51.590005647058817</v>
      </c>
      <c r="M52" s="9">
        <v>117.48902357829643</v>
      </c>
      <c r="N52" s="7">
        <v>52.141160729769489</v>
      </c>
      <c r="O52" s="9">
        <v>142.65</v>
      </c>
      <c r="P52" s="9">
        <v>143.55000000000001</v>
      </c>
      <c r="Q52" s="9">
        <v>41</v>
      </c>
      <c r="R52" s="6">
        <f t="shared" si="2"/>
        <v>97</v>
      </c>
      <c r="S52" s="6">
        <v>36</v>
      </c>
      <c r="T52" s="6">
        <f t="shared" si="3"/>
        <v>84</v>
      </c>
    </row>
    <row r="53" spans="1:20">
      <c r="A53" s="3">
        <v>3140</v>
      </c>
      <c r="B53" s="6" t="s">
        <v>48</v>
      </c>
      <c r="C53" s="6">
        <v>2</v>
      </c>
      <c r="D53" s="7">
        <v>41.933962264150942</v>
      </c>
      <c r="E53" s="7">
        <v>97</v>
      </c>
      <c r="F53" s="9">
        <v>55.349999999999994</v>
      </c>
      <c r="G53" s="7">
        <v>82.522974413507427</v>
      </c>
      <c r="H53" s="7">
        <v>1.87</v>
      </c>
      <c r="I53" s="9">
        <v>2</v>
      </c>
      <c r="J53" s="7">
        <v>10.475253093363328</v>
      </c>
      <c r="K53" s="11">
        <v>4.8669715834462624</v>
      </c>
      <c r="L53" s="7">
        <v>50.13568687248322</v>
      </c>
      <c r="M53" s="9">
        <v>133.89062736121792</v>
      </c>
      <c r="N53" s="7">
        <v>51.361673469015727</v>
      </c>
      <c r="O53" s="9">
        <v>122.08</v>
      </c>
      <c r="P53" s="9">
        <v>161.19</v>
      </c>
      <c r="Q53" s="9">
        <v>49</v>
      </c>
      <c r="R53" s="6">
        <f t="shared" si="2"/>
        <v>47</v>
      </c>
      <c r="S53" s="6">
        <v>40</v>
      </c>
      <c r="T53" s="6">
        <f t="shared" si="3"/>
        <v>45</v>
      </c>
    </row>
    <row r="54" spans="1:20">
      <c r="A54" s="3">
        <v>3141</v>
      </c>
      <c r="B54" s="6" t="s">
        <v>49</v>
      </c>
      <c r="C54" s="6">
        <v>2</v>
      </c>
      <c r="D54" s="7">
        <v>44.773869346733669</v>
      </c>
      <c r="E54" s="7">
        <v>97.9</v>
      </c>
      <c r="F54" s="9">
        <v>58.730000000000004</v>
      </c>
      <c r="G54" s="7">
        <v>82.983135252512625</v>
      </c>
      <c r="H54" s="7">
        <v>1.78</v>
      </c>
      <c r="I54" s="9">
        <v>1</v>
      </c>
      <c r="J54" s="7">
        <v>10.592031425364759</v>
      </c>
      <c r="K54" s="11">
        <v>5.2154836134015232</v>
      </c>
      <c r="L54" s="7">
        <v>51.581469419354825</v>
      </c>
      <c r="M54" s="9">
        <v>141.01617588840736</v>
      </c>
      <c r="N54" s="7">
        <v>50.713010321948921</v>
      </c>
      <c r="O54" s="9">
        <v>99.05</v>
      </c>
      <c r="P54" s="9">
        <v>175.62</v>
      </c>
      <c r="Q54" s="9">
        <v>55</v>
      </c>
      <c r="R54" s="6">
        <f t="shared" si="2"/>
        <v>18</v>
      </c>
      <c r="S54" s="6">
        <v>41</v>
      </c>
      <c r="T54" s="6">
        <f t="shared" si="3"/>
        <v>31</v>
      </c>
    </row>
    <row r="55" spans="1:20">
      <c r="A55" s="3">
        <v>3142</v>
      </c>
      <c r="B55" s="6" t="s">
        <v>50</v>
      </c>
      <c r="C55" s="6">
        <v>2</v>
      </c>
      <c r="D55" s="7">
        <v>45.882352941176471</v>
      </c>
      <c r="E55" s="7">
        <v>98</v>
      </c>
      <c r="F55" s="9">
        <v>61.739999999999995</v>
      </c>
      <c r="G55" s="7">
        <v>82.246923102570335</v>
      </c>
      <c r="H55" s="7">
        <v>1.94</v>
      </c>
      <c r="I55" s="9">
        <v>1</v>
      </c>
      <c r="J55" s="7">
        <v>10.730211817168339</v>
      </c>
      <c r="K55" s="11">
        <v>5.1659760091790972</v>
      </c>
      <c r="L55" s="7">
        <v>48.614686625766879</v>
      </c>
      <c r="M55" s="9">
        <v>159.32342071447317</v>
      </c>
      <c r="N55" s="7">
        <v>61.426018001147277</v>
      </c>
      <c r="O55" s="9">
        <v>72.45</v>
      </c>
      <c r="P55" s="9">
        <v>182.55</v>
      </c>
      <c r="Q55" s="9">
        <v>58</v>
      </c>
      <c r="R55" s="6">
        <f t="shared" si="2"/>
        <v>9</v>
      </c>
      <c r="S55" s="6">
        <v>37</v>
      </c>
      <c r="T55" s="6">
        <f t="shared" si="3"/>
        <v>75</v>
      </c>
    </row>
    <row r="56" spans="1:20">
      <c r="A56" s="3">
        <v>3143</v>
      </c>
      <c r="B56" s="6" t="s">
        <v>51</v>
      </c>
      <c r="C56" s="6">
        <v>2</v>
      </c>
      <c r="D56" s="7">
        <v>43.102625298329357</v>
      </c>
      <c r="E56" s="7">
        <v>98</v>
      </c>
      <c r="F56" s="9">
        <v>54.25</v>
      </c>
      <c r="G56" s="7">
        <v>82.210917923238995</v>
      </c>
      <c r="H56" s="7">
        <v>1.26</v>
      </c>
      <c r="I56" s="9">
        <v>1</v>
      </c>
      <c r="J56" s="7">
        <v>11.351052048726467</v>
      </c>
      <c r="K56" s="11">
        <v>4.9774643588137</v>
      </c>
      <c r="L56" s="7">
        <v>46.219829042424237</v>
      </c>
      <c r="M56" s="9">
        <v>162.29655585316232</v>
      </c>
      <c r="N56" s="7">
        <v>45.406238134420427</v>
      </c>
      <c r="O56" s="9">
        <v>212.34</v>
      </c>
      <c r="P56" s="9">
        <v>158.22999999999999</v>
      </c>
      <c r="Q56" s="9">
        <v>55</v>
      </c>
      <c r="R56" s="6">
        <f t="shared" si="2"/>
        <v>18</v>
      </c>
      <c r="S56" s="6">
        <v>34</v>
      </c>
      <c r="T56" s="6">
        <f t="shared" si="3"/>
        <v>96</v>
      </c>
    </row>
    <row r="57" spans="1:20">
      <c r="A57" s="3">
        <v>3144</v>
      </c>
      <c r="B57" s="6" t="s">
        <v>52</v>
      </c>
      <c r="C57" s="6">
        <v>2</v>
      </c>
      <c r="D57" s="7">
        <v>44.827586206896555</v>
      </c>
      <c r="E57" s="7">
        <v>96.8</v>
      </c>
      <c r="F57" s="9">
        <v>53.959999999999994</v>
      </c>
      <c r="G57" s="7">
        <v>82.896428864401855</v>
      </c>
      <c r="H57" s="7">
        <v>2.12</v>
      </c>
      <c r="I57" s="9">
        <v>2</v>
      </c>
      <c r="J57" s="7">
        <v>10.233516483516484</v>
      </c>
      <c r="K57" s="11">
        <v>5.0991075904493801</v>
      </c>
      <c r="L57" s="7">
        <v>53.964734786206904</v>
      </c>
      <c r="M57" s="9">
        <v>125.10158414820248</v>
      </c>
      <c r="N57" s="7">
        <v>45.323918769654348</v>
      </c>
      <c r="O57" s="9">
        <v>129.13</v>
      </c>
      <c r="P57" s="9">
        <v>173.75</v>
      </c>
      <c r="Q57" s="9">
        <v>47</v>
      </c>
      <c r="R57" s="6">
        <f t="shared" si="2"/>
        <v>62</v>
      </c>
      <c r="S57" s="6">
        <v>41</v>
      </c>
      <c r="T57" s="6">
        <f t="shared" si="3"/>
        <v>31</v>
      </c>
    </row>
    <row r="58" spans="1:20">
      <c r="A58" s="3">
        <v>3145</v>
      </c>
      <c r="B58" s="6" t="s">
        <v>53</v>
      </c>
      <c r="C58" s="6">
        <v>2</v>
      </c>
      <c r="D58" s="7">
        <v>44.058679706601467</v>
      </c>
      <c r="E58" s="7">
        <v>97.4</v>
      </c>
      <c r="F58" s="9">
        <v>56.430000000000007</v>
      </c>
      <c r="G58" s="7">
        <v>82.74459852064264</v>
      </c>
      <c r="H58" s="7">
        <v>1.51</v>
      </c>
      <c r="I58" s="9">
        <v>1</v>
      </c>
      <c r="J58" s="7">
        <v>9.5033296337402895</v>
      </c>
      <c r="K58" s="11">
        <v>4.6276205400896675</v>
      </c>
      <c r="L58" s="7">
        <v>48.974906041379313</v>
      </c>
      <c r="M58" s="9">
        <v>119.8426654936297</v>
      </c>
      <c r="N58" s="7">
        <v>43.006282614059643</v>
      </c>
      <c r="O58" s="9">
        <v>82.52</v>
      </c>
      <c r="P58" s="9">
        <v>143.69999999999999</v>
      </c>
      <c r="Q58" s="9">
        <v>45</v>
      </c>
      <c r="R58" s="6">
        <f t="shared" si="2"/>
        <v>77</v>
      </c>
      <c r="S58" s="6">
        <v>43</v>
      </c>
      <c r="T58" s="6">
        <f t="shared" si="3"/>
        <v>19</v>
      </c>
    </row>
    <row r="59" spans="1:20">
      <c r="A59" s="3">
        <v>3146</v>
      </c>
      <c r="B59" s="6" t="s">
        <v>54</v>
      </c>
      <c r="C59" s="6">
        <v>2</v>
      </c>
      <c r="D59" s="7">
        <v>39.737417943107218</v>
      </c>
      <c r="E59" s="7">
        <v>95.6</v>
      </c>
      <c r="F59" s="9">
        <v>59.019999999999996</v>
      </c>
      <c r="G59" s="7">
        <v>81.800352149467599</v>
      </c>
      <c r="H59" s="7">
        <v>1.56</v>
      </c>
      <c r="I59" s="9">
        <v>1</v>
      </c>
      <c r="J59" s="7">
        <v>9.7053964757709252</v>
      </c>
      <c r="K59" s="11">
        <v>4.6038506561133108</v>
      </c>
      <c r="L59" s="7">
        <v>49.809773521126765</v>
      </c>
      <c r="M59" s="9">
        <v>130.2938129369746</v>
      </c>
      <c r="N59" s="7">
        <v>49.461547062447508</v>
      </c>
      <c r="O59" s="9">
        <v>62.57</v>
      </c>
      <c r="P59" s="9">
        <v>141.35</v>
      </c>
      <c r="Q59" s="9">
        <v>45</v>
      </c>
      <c r="R59" s="6">
        <f t="shared" si="2"/>
        <v>77</v>
      </c>
      <c r="S59" s="6">
        <v>37</v>
      </c>
      <c r="T59" s="6">
        <f t="shared" si="3"/>
        <v>75</v>
      </c>
    </row>
    <row r="60" spans="1:20">
      <c r="A60" s="3">
        <v>3147</v>
      </c>
      <c r="B60" s="6" t="s">
        <v>55</v>
      </c>
      <c r="C60" s="6">
        <v>2</v>
      </c>
      <c r="D60" s="7">
        <v>44.213075060532688</v>
      </c>
      <c r="E60" s="7">
        <v>98</v>
      </c>
      <c r="F60" s="9">
        <v>57.370000000000005</v>
      </c>
      <c r="G60" s="7">
        <v>82.495432037023107</v>
      </c>
      <c r="H60" s="7">
        <v>1.42</v>
      </c>
      <c r="I60" s="9">
        <v>1</v>
      </c>
      <c r="J60" s="7">
        <v>10.131434830230011</v>
      </c>
      <c r="K60" s="11">
        <v>4.6339015034453954</v>
      </c>
      <c r="L60" s="7">
        <v>47.982171459459458</v>
      </c>
      <c r="M60" s="9">
        <v>130.86886825423559</v>
      </c>
      <c r="N60" s="7">
        <v>39.747634172382845</v>
      </c>
      <c r="O60" s="9">
        <v>207.56</v>
      </c>
      <c r="P60" s="9">
        <v>141.65</v>
      </c>
      <c r="Q60" s="9">
        <v>37</v>
      </c>
      <c r="R60" s="6">
        <f t="shared" si="2"/>
        <v>111</v>
      </c>
      <c r="S60" s="6">
        <v>38</v>
      </c>
      <c r="T60" s="6">
        <f t="shared" si="3"/>
        <v>67</v>
      </c>
    </row>
    <row r="61" spans="1:20">
      <c r="A61" s="3">
        <v>3148</v>
      </c>
      <c r="B61" s="6" t="s">
        <v>56</v>
      </c>
      <c r="C61" s="6">
        <v>2</v>
      </c>
      <c r="D61" s="7">
        <v>42.750582750582751</v>
      </c>
      <c r="E61" s="7">
        <v>97.3</v>
      </c>
      <c r="F61" s="9">
        <v>63.239999999999995</v>
      </c>
      <c r="G61" s="7">
        <v>82.666213915669033</v>
      </c>
      <c r="H61" s="7">
        <v>1.45</v>
      </c>
      <c r="I61" s="9">
        <v>2</v>
      </c>
      <c r="J61" s="7">
        <v>9.5419847328244281</v>
      </c>
      <c r="K61" s="11">
        <v>4.3297637284595307</v>
      </c>
      <c r="L61" s="7">
        <v>47.043957673758868</v>
      </c>
      <c r="M61" s="9">
        <v>111.59801783351519</v>
      </c>
      <c r="N61" s="7">
        <v>50.121944840162762</v>
      </c>
      <c r="O61" s="9">
        <v>229.44</v>
      </c>
      <c r="P61" s="9">
        <v>126.32</v>
      </c>
      <c r="Q61" s="9">
        <v>40</v>
      </c>
      <c r="R61" s="6">
        <f t="shared" si="2"/>
        <v>101</v>
      </c>
      <c r="S61" s="6">
        <v>40</v>
      </c>
      <c r="T61" s="6">
        <f t="shared" si="3"/>
        <v>45</v>
      </c>
    </row>
    <row r="62" spans="1:20">
      <c r="A62" s="3">
        <v>3150</v>
      </c>
      <c r="B62" s="6" t="s">
        <v>57</v>
      </c>
      <c r="C62" s="6">
        <v>2</v>
      </c>
      <c r="D62" s="7">
        <v>42.616822429906541</v>
      </c>
      <c r="E62" s="7">
        <v>96.4</v>
      </c>
      <c r="F62" s="9">
        <v>58.959999999999994</v>
      </c>
      <c r="G62" s="7">
        <v>82.440821946564881</v>
      </c>
      <c r="H62" s="7">
        <v>1.5699999999999998</v>
      </c>
      <c r="I62" s="9">
        <v>1</v>
      </c>
      <c r="J62" s="7">
        <v>10.690789473684211</v>
      </c>
      <c r="K62" s="11">
        <v>5.2176550931224641</v>
      </c>
      <c r="L62" s="7">
        <v>50.781653772151905</v>
      </c>
      <c r="M62" s="9">
        <v>141.34797983071786</v>
      </c>
      <c r="N62" s="7">
        <v>54.650824592617852</v>
      </c>
      <c r="O62" s="9">
        <v>173.29</v>
      </c>
      <c r="P62" s="9">
        <v>183.76</v>
      </c>
      <c r="Q62" s="9">
        <v>51</v>
      </c>
      <c r="R62" s="6">
        <f t="shared" si="2"/>
        <v>35</v>
      </c>
      <c r="S62" s="6">
        <v>30</v>
      </c>
      <c r="T62" s="6">
        <f t="shared" si="3"/>
        <v>111</v>
      </c>
    </row>
    <row r="63" spans="1:20">
      <c r="A63" s="3">
        <v>3151</v>
      </c>
      <c r="B63" s="6" t="s">
        <v>58</v>
      </c>
      <c r="C63" s="6">
        <v>2</v>
      </c>
      <c r="D63" s="7">
        <v>41.797235023041473</v>
      </c>
      <c r="E63" s="7">
        <v>97.4</v>
      </c>
      <c r="F63" s="9">
        <v>56.150000000000006</v>
      </c>
      <c r="G63" s="7">
        <v>80.914848968830782</v>
      </c>
      <c r="H63" s="7">
        <v>1.44</v>
      </c>
      <c r="I63" s="9">
        <v>1</v>
      </c>
      <c r="J63" s="7">
        <v>10.0606394707828</v>
      </c>
      <c r="K63" s="11">
        <v>4.9556731008717314</v>
      </c>
      <c r="L63" s="7">
        <v>50.599063311258284</v>
      </c>
      <c r="M63" s="9">
        <v>118.03840234134786</v>
      </c>
      <c r="N63" s="7">
        <v>49.382975323092346</v>
      </c>
      <c r="O63" s="9">
        <v>146.97999999999999</v>
      </c>
      <c r="P63" s="9">
        <v>165.63</v>
      </c>
      <c r="Q63" s="9">
        <v>41</v>
      </c>
      <c r="R63" s="6">
        <f t="shared" si="2"/>
        <v>97</v>
      </c>
      <c r="S63" s="6">
        <v>39</v>
      </c>
      <c r="T63" s="6">
        <f t="shared" si="3"/>
        <v>60</v>
      </c>
    </row>
    <row r="64" spans="1:20">
      <c r="A64" s="3">
        <v>3152</v>
      </c>
      <c r="B64" s="6" t="s">
        <v>59</v>
      </c>
      <c r="C64" s="6">
        <v>2</v>
      </c>
      <c r="D64" s="7">
        <v>42.295081967213115</v>
      </c>
      <c r="E64" s="7">
        <v>96.9</v>
      </c>
      <c r="F64" s="9">
        <v>57.040000000000006</v>
      </c>
      <c r="G64" s="7">
        <v>81.753250681640779</v>
      </c>
      <c r="H64" s="7">
        <v>1.76</v>
      </c>
      <c r="I64" s="9">
        <v>2</v>
      </c>
      <c r="J64" s="7">
        <v>10.589700996677742</v>
      </c>
      <c r="K64" s="11">
        <v>4.5917471586178191</v>
      </c>
      <c r="L64" s="7">
        <v>45.248724820512827</v>
      </c>
      <c r="M64" s="9">
        <v>112.39650536047651</v>
      </c>
      <c r="N64" s="7">
        <v>52.76167538986693</v>
      </c>
      <c r="O64" s="9" t="s">
        <v>172</v>
      </c>
      <c r="P64" s="9">
        <v>144.53</v>
      </c>
      <c r="Q64" s="9">
        <v>45</v>
      </c>
      <c r="R64" s="6">
        <f t="shared" si="2"/>
        <v>77</v>
      </c>
      <c r="S64" s="6">
        <v>39</v>
      </c>
      <c r="T64" s="6">
        <f t="shared" si="3"/>
        <v>60</v>
      </c>
    </row>
    <row r="65" spans="1:20">
      <c r="A65" s="3">
        <v>3153</v>
      </c>
      <c r="B65" s="6" t="s">
        <v>60</v>
      </c>
      <c r="C65" s="6">
        <v>2</v>
      </c>
      <c r="D65" s="7">
        <v>44.504950495049506</v>
      </c>
      <c r="E65" s="7">
        <v>98.3</v>
      </c>
      <c r="F65" s="9">
        <v>62.400000000000006</v>
      </c>
      <c r="G65" s="7">
        <v>82.413719172351861</v>
      </c>
      <c r="H65" s="7">
        <v>1.52</v>
      </c>
      <c r="I65" s="9">
        <v>1</v>
      </c>
      <c r="J65" s="7">
        <v>10.49777530589544</v>
      </c>
      <c r="K65" s="11">
        <v>4.6616836303011358</v>
      </c>
      <c r="L65" s="7">
        <v>45.304483848101263</v>
      </c>
      <c r="M65" s="9">
        <v>142.4329887458529</v>
      </c>
      <c r="N65" s="7">
        <v>47.004427221965273</v>
      </c>
      <c r="O65" s="9" t="s">
        <v>173</v>
      </c>
      <c r="P65" s="9">
        <v>142.29</v>
      </c>
      <c r="Q65" s="9">
        <v>46</v>
      </c>
      <c r="R65" s="6">
        <f t="shared" si="2"/>
        <v>72</v>
      </c>
      <c r="S65" s="6">
        <v>38</v>
      </c>
      <c r="T65" s="6">
        <f t="shared" si="3"/>
        <v>67</v>
      </c>
    </row>
    <row r="66" spans="1:20">
      <c r="A66" s="3">
        <v>3154</v>
      </c>
      <c r="B66" s="6" t="s">
        <v>61</v>
      </c>
      <c r="C66" s="6">
        <v>2</v>
      </c>
      <c r="D66" s="7">
        <v>44.187192118226598</v>
      </c>
      <c r="E66" s="7">
        <v>97.8</v>
      </c>
      <c r="F66" s="9">
        <v>58.64</v>
      </c>
      <c r="G66" s="7">
        <v>83.167767568801338</v>
      </c>
      <c r="H66" s="7">
        <v>1.6600000000000001</v>
      </c>
      <c r="I66" s="9">
        <v>2</v>
      </c>
      <c r="J66" s="7">
        <v>10.172798216276476</v>
      </c>
      <c r="K66" s="11">
        <v>4.8768150884495327</v>
      </c>
      <c r="L66" s="7">
        <v>49.010397908496735</v>
      </c>
      <c r="M66" s="9">
        <v>126.23769288207403</v>
      </c>
      <c r="N66" s="7">
        <v>44.59610962779616</v>
      </c>
      <c r="O66" s="9">
        <v>69.63</v>
      </c>
      <c r="P66" s="9">
        <v>153.29</v>
      </c>
      <c r="Q66" s="9">
        <v>51</v>
      </c>
      <c r="R66" s="6">
        <f t="shared" si="2"/>
        <v>35</v>
      </c>
      <c r="S66" s="6">
        <v>45</v>
      </c>
      <c r="T66" s="6">
        <f t="shared" si="3"/>
        <v>10</v>
      </c>
    </row>
    <row r="67" spans="1:20">
      <c r="A67" s="3">
        <v>3155</v>
      </c>
      <c r="B67" s="6" t="s">
        <v>62</v>
      </c>
      <c r="C67" s="6">
        <v>2</v>
      </c>
      <c r="D67" s="7">
        <v>48.432432432432435</v>
      </c>
      <c r="E67" s="7">
        <v>98.6</v>
      </c>
      <c r="F67" s="9">
        <v>60.97</v>
      </c>
      <c r="G67" s="7">
        <v>82.35608048377857</v>
      </c>
      <c r="H67" s="7">
        <v>1.8599999999999999</v>
      </c>
      <c r="I67" s="9">
        <v>2</v>
      </c>
      <c r="J67" s="7">
        <v>10.811941964285715</v>
      </c>
      <c r="K67" s="11">
        <v>4.7972703634280958</v>
      </c>
      <c r="L67" s="7">
        <v>47.554257858064517</v>
      </c>
      <c r="M67" s="9">
        <v>119.7520837505172</v>
      </c>
      <c r="N67" s="7">
        <v>48.003793922572868</v>
      </c>
      <c r="O67" s="9">
        <v>232.46</v>
      </c>
      <c r="P67" s="9">
        <v>157.38</v>
      </c>
      <c r="Q67" s="9">
        <v>37</v>
      </c>
      <c r="R67" s="6">
        <f t="shared" si="2"/>
        <v>111</v>
      </c>
      <c r="S67" s="6">
        <v>36</v>
      </c>
      <c r="T67" s="6">
        <f t="shared" si="3"/>
        <v>84</v>
      </c>
    </row>
    <row r="68" spans="1:20">
      <c r="A68" s="3">
        <v>3156</v>
      </c>
      <c r="B68" s="6" t="s">
        <v>63</v>
      </c>
      <c r="C68" s="6">
        <v>2</v>
      </c>
      <c r="D68" s="7">
        <v>39.471365638766521</v>
      </c>
      <c r="E68" s="7">
        <v>96.1</v>
      </c>
      <c r="F68" s="9">
        <v>58.069999999999993</v>
      </c>
      <c r="G68" s="7">
        <v>82.25907754313333</v>
      </c>
      <c r="H68" s="7">
        <v>1.8900000000000001</v>
      </c>
      <c r="I68" s="9">
        <v>2</v>
      </c>
      <c r="J68" s="7">
        <v>10.184151785714286</v>
      </c>
      <c r="K68" s="11">
        <v>4.3317855280992603</v>
      </c>
      <c r="L68" s="7">
        <v>43.164836363636368</v>
      </c>
      <c r="M68" s="9">
        <v>128.61133791761981</v>
      </c>
      <c r="N68" s="7">
        <v>43.839605739160106</v>
      </c>
      <c r="O68" s="9">
        <v>216.59</v>
      </c>
      <c r="P68" s="9">
        <v>120.39</v>
      </c>
      <c r="Q68" s="9">
        <v>42</v>
      </c>
      <c r="R68" s="6">
        <f t="shared" si="2"/>
        <v>95</v>
      </c>
      <c r="S68" s="6">
        <v>38</v>
      </c>
      <c r="T68" s="6">
        <f t="shared" si="3"/>
        <v>67</v>
      </c>
    </row>
    <row r="69" spans="1:20">
      <c r="A69" s="3">
        <v>3157</v>
      </c>
      <c r="B69" s="6" t="s">
        <v>64</v>
      </c>
      <c r="C69" s="6">
        <v>2</v>
      </c>
      <c r="D69" s="7">
        <v>46.736292428198432</v>
      </c>
      <c r="E69" s="7">
        <v>98.3</v>
      </c>
      <c r="F69" s="9">
        <v>55.91</v>
      </c>
      <c r="G69" s="7">
        <v>80.88508910674544</v>
      </c>
      <c r="H69" s="7">
        <v>1.98</v>
      </c>
      <c r="I69" s="9">
        <v>2</v>
      </c>
      <c r="J69" s="7">
        <v>10.893854748603353</v>
      </c>
      <c r="K69" s="11">
        <v>4.9901302030192607</v>
      </c>
      <c r="L69" s="7">
        <v>48.231648402515724</v>
      </c>
      <c r="M69" s="9">
        <v>128.15298031676224</v>
      </c>
      <c r="N69" s="7">
        <v>51.888310748505717</v>
      </c>
      <c r="O69" s="9">
        <v>178</v>
      </c>
      <c r="P69" s="9">
        <v>160.36000000000001</v>
      </c>
      <c r="Q69" s="9">
        <v>44</v>
      </c>
      <c r="R69" s="6">
        <f t="shared" si="2"/>
        <v>82</v>
      </c>
      <c r="S69" s="6">
        <v>28</v>
      </c>
      <c r="T69" s="6">
        <f t="shared" si="3"/>
        <v>114</v>
      </c>
    </row>
    <row r="70" spans="1:20">
      <c r="A70" s="3">
        <v>3158</v>
      </c>
      <c r="B70" s="6" t="s">
        <v>65</v>
      </c>
      <c r="C70" s="6">
        <v>2</v>
      </c>
      <c r="D70" s="7">
        <v>45.979381443298969</v>
      </c>
      <c r="E70" s="7">
        <v>98.4</v>
      </c>
      <c r="F70" s="9">
        <v>59.22</v>
      </c>
      <c r="G70" s="7">
        <v>83.11036332021304</v>
      </c>
      <c r="H70" s="7">
        <v>1.6</v>
      </c>
      <c r="I70" s="9">
        <v>1</v>
      </c>
      <c r="J70" s="7">
        <v>10.299887892376681</v>
      </c>
      <c r="K70" s="11">
        <v>4.7740447571398796</v>
      </c>
      <c r="L70" s="7">
        <v>51.247200447552451</v>
      </c>
      <c r="M70" s="9">
        <v>138.38135644297626</v>
      </c>
      <c r="N70" s="7">
        <v>45.572916959710959</v>
      </c>
      <c r="O70" s="9">
        <v>118.91</v>
      </c>
      <c r="P70" s="9">
        <v>154.09</v>
      </c>
      <c r="Q70" s="9">
        <v>44</v>
      </c>
      <c r="R70" s="6">
        <f t="shared" ref="R70:R101" si="4">RANK(Q70,$Q$6:$Q$125)</f>
        <v>82</v>
      </c>
      <c r="S70" s="6">
        <v>42</v>
      </c>
      <c r="T70" s="6">
        <f t="shared" ref="T70:T101" si="5">RANK(S70,$S$6:$S$125)</f>
        <v>25</v>
      </c>
    </row>
    <row r="71" spans="1:20">
      <c r="A71" s="3">
        <v>3159</v>
      </c>
      <c r="B71" s="6" t="s">
        <v>66</v>
      </c>
      <c r="C71" s="6">
        <v>2</v>
      </c>
      <c r="D71" s="7">
        <v>45.78005115089514</v>
      </c>
      <c r="E71" s="7">
        <v>98.9</v>
      </c>
      <c r="F71" s="9">
        <v>64.349999999999994</v>
      </c>
      <c r="G71" s="7">
        <v>82.177689421129386</v>
      </c>
      <c r="H71" s="7">
        <v>1.44</v>
      </c>
      <c r="I71" s="9">
        <v>2</v>
      </c>
      <c r="J71" s="7">
        <v>10.614525139664805</v>
      </c>
      <c r="K71" s="11">
        <v>4.9332147549530765</v>
      </c>
      <c r="L71" s="7">
        <v>48.21353324840765</v>
      </c>
      <c r="M71" s="9">
        <v>138.93493753208878</v>
      </c>
      <c r="N71" s="7">
        <v>55.407095011913746</v>
      </c>
      <c r="O71" s="9">
        <v>212.87</v>
      </c>
      <c r="P71" s="9">
        <v>160.47</v>
      </c>
      <c r="Q71" s="9">
        <v>47</v>
      </c>
      <c r="R71" s="6">
        <f t="shared" si="4"/>
        <v>62</v>
      </c>
      <c r="S71" s="6">
        <v>33</v>
      </c>
      <c r="T71" s="6">
        <f t="shared" si="5"/>
        <v>101</v>
      </c>
    </row>
    <row r="72" spans="1:20">
      <c r="A72" s="3">
        <v>3160</v>
      </c>
      <c r="B72" s="6" t="s">
        <v>67</v>
      </c>
      <c r="C72" s="6">
        <v>2</v>
      </c>
      <c r="D72" s="7">
        <v>44.029484029484031</v>
      </c>
      <c r="E72" s="7">
        <v>98.7</v>
      </c>
      <c r="F72" s="9">
        <v>57.599999999999994</v>
      </c>
      <c r="G72" s="7">
        <v>82.44824863014874</v>
      </c>
      <c r="H72" s="7" t="s">
        <v>166</v>
      </c>
      <c r="I72" s="9">
        <v>3</v>
      </c>
      <c r="J72" s="7">
        <v>10.06</v>
      </c>
      <c r="K72" s="11">
        <v>4.5010084924360996</v>
      </c>
      <c r="L72" s="7">
        <v>46.640179891891904</v>
      </c>
      <c r="M72" s="9">
        <v>121.98017475892237</v>
      </c>
      <c r="N72" s="7">
        <v>43.959692613406311</v>
      </c>
      <c r="O72" s="9">
        <v>300.07</v>
      </c>
      <c r="P72" s="9">
        <v>132.74</v>
      </c>
      <c r="Q72" s="9">
        <v>44</v>
      </c>
      <c r="R72" s="6">
        <f t="shared" si="4"/>
        <v>82</v>
      </c>
      <c r="S72" s="6">
        <v>36</v>
      </c>
      <c r="T72" s="6">
        <f t="shared" si="5"/>
        <v>84</v>
      </c>
    </row>
    <row r="73" spans="1:20">
      <c r="A73" s="3">
        <v>3161</v>
      </c>
      <c r="B73" s="6" t="s">
        <v>68</v>
      </c>
      <c r="C73" s="6">
        <v>2</v>
      </c>
      <c r="D73" s="7">
        <v>45.765306122448976</v>
      </c>
      <c r="E73" s="7">
        <v>97.3</v>
      </c>
      <c r="F73" s="9">
        <v>61.629999999999995</v>
      </c>
      <c r="G73" s="7">
        <v>82.595208445658912</v>
      </c>
      <c r="H73" s="7">
        <v>1.41</v>
      </c>
      <c r="I73" s="9">
        <v>1</v>
      </c>
      <c r="J73" s="7">
        <v>9.65</v>
      </c>
      <c r="K73" s="11">
        <v>4.7822897769904129</v>
      </c>
      <c r="L73" s="7">
        <v>50.63818228965517</v>
      </c>
      <c r="M73" s="9">
        <v>120.06384029279317</v>
      </c>
      <c r="N73" s="7">
        <v>50.421665872264754</v>
      </c>
      <c r="O73" s="9">
        <v>83.85</v>
      </c>
      <c r="P73" s="9">
        <v>156.66</v>
      </c>
      <c r="Q73" s="9">
        <v>51</v>
      </c>
      <c r="R73" s="6">
        <f t="shared" si="4"/>
        <v>35</v>
      </c>
      <c r="S73" s="6">
        <v>41</v>
      </c>
      <c r="T73" s="6">
        <f t="shared" si="5"/>
        <v>31</v>
      </c>
    </row>
    <row r="74" spans="1:20">
      <c r="A74" s="3">
        <v>3162</v>
      </c>
      <c r="B74" s="6" t="s">
        <v>69</v>
      </c>
      <c r="C74" s="6">
        <v>2</v>
      </c>
      <c r="D74" s="7">
        <v>45.417721518987342</v>
      </c>
      <c r="E74" s="7">
        <v>98.8</v>
      </c>
      <c r="F74" s="9">
        <v>65.55</v>
      </c>
      <c r="G74" s="7">
        <v>81.863621673077461</v>
      </c>
      <c r="H74" s="7">
        <v>1.62</v>
      </c>
      <c r="I74" s="9">
        <v>2</v>
      </c>
      <c r="J74" s="7">
        <v>10.000000000000002</v>
      </c>
      <c r="K74" s="11">
        <v>4.6199134589361925</v>
      </c>
      <c r="L74" s="7">
        <v>46.719482736842103</v>
      </c>
      <c r="M74" s="9">
        <v>117.32069364276661</v>
      </c>
      <c r="N74" s="7">
        <v>50.47947325171971</v>
      </c>
      <c r="O74" s="9">
        <v>118.66</v>
      </c>
      <c r="P74" s="9">
        <v>144.84</v>
      </c>
      <c r="Q74" s="9">
        <v>48</v>
      </c>
      <c r="R74" s="6">
        <f t="shared" si="4"/>
        <v>52</v>
      </c>
      <c r="S74" s="6">
        <v>43</v>
      </c>
      <c r="T74" s="6">
        <f t="shared" si="5"/>
        <v>19</v>
      </c>
    </row>
    <row r="75" spans="1:20">
      <c r="A75" s="3">
        <v>3163</v>
      </c>
      <c r="B75" s="6" t="s">
        <v>70</v>
      </c>
      <c r="C75" s="6">
        <v>2</v>
      </c>
      <c r="D75" s="7">
        <v>46.71875</v>
      </c>
      <c r="E75" s="7">
        <v>99.3</v>
      </c>
      <c r="F75" s="9">
        <v>58.84</v>
      </c>
      <c r="G75" s="7">
        <v>82.787365077161937</v>
      </c>
      <c r="H75" s="7">
        <v>1.8199999999999998</v>
      </c>
      <c r="I75" s="9">
        <v>1</v>
      </c>
      <c r="J75" s="7">
        <v>9.8699999999999992</v>
      </c>
      <c r="K75" s="11">
        <v>4.8635397899771258</v>
      </c>
      <c r="L75" s="7">
        <v>53.080880226950356</v>
      </c>
      <c r="M75" s="9">
        <v>118.53916967696102</v>
      </c>
      <c r="N75" s="7">
        <v>52.868389321321246</v>
      </c>
      <c r="O75" s="9">
        <v>80.42</v>
      </c>
      <c r="P75" s="9">
        <v>156.16</v>
      </c>
      <c r="Q75" s="9">
        <v>52</v>
      </c>
      <c r="R75" s="6">
        <f t="shared" si="4"/>
        <v>28</v>
      </c>
      <c r="S75" s="6">
        <v>49</v>
      </c>
      <c r="T75" s="6">
        <f t="shared" si="5"/>
        <v>1</v>
      </c>
    </row>
    <row r="76" spans="1:20">
      <c r="A76" s="3">
        <v>3164</v>
      </c>
      <c r="B76" s="6" t="s">
        <v>71</v>
      </c>
      <c r="C76" s="6">
        <v>2</v>
      </c>
      <c r="D76" s="7">
        <v>42.093023255813954</v>
      </c>
      <c r="E76" s="7">
        <v>98.1</v>
      </c>
      <c r="F76" s="9">
        <v>59.269999999999996</v>
      </c>
      <c r="G76" s="7">
        <v>82.910585545982045</v>
      </c>
      <c r="H76" s="7">
        <v>1.85</v>
      </c>
      <c r="I76" s="9">
        <v>2</v>
      </c>
      <c r="J76" s="7">
        <v>9.41</v>
      </c>
      <c r="K76" s="11">
        <v>4.5586289062500009</v>
      </c>
      <c r="L76" s="7">
        <v>50.014671428571432</v>
      </c>
      <c r="M76" s="9">
        <v>139.78090472607974</v>
      </c>
      <c r="N76" s="7">
        <v>52.736268839003152</v>
      </c>
      <c r="O76" s="9">
        <v>62.07</v>
      </c>
      <c r="P76" s="9">
        <v>132.44999999999999</v>
      </c>
      <c r="Q76" s="9">
        <v>50</v>
      </c>
      <c r="R76" s="6">
        <f t="shared" si="4"/>
        <v>41</v>
      </c>
      <c r="S76" s="6">
        <v>39</v>
      </c>
      <c r="T76" s="6">
        <f t="shared" si="5"/>
        <v>60</v>
      </c>
    </row>
    <row r="77" spans="1:20">
      <c r="A77" s="3">
        <v>3165</v>
      </c>
      <c r="B77" s="6" t="s">
        <v>72</v>
      </c>
      <c r="C77" s="6">
        <v>2</v>
      </c>
      <c r="D77" s="7">
        <v>46.909090909090907</v>
      </c>
      <c r="E77" s="7">
        <v>97.4</v>
      </c>
      <c r="F77" s="9">
        <v>68.739999999999995</v>
      </c>
      <c r="G77" s="7">
        <v>82.048942286445481</v>
      </c>
      <c r="H77" s="7">
        <v>1.51</v>
      </c>
      <c r="I77" s="9">
        <v>2</v>
      </c>
      <c r="J77" s="7">
        <v>10.029999999999998</v>
      </c>
      <c r="K77" s="11">
        <v>4.5425224491922878</v>
      </c>
      <c r="L77" s="7">
        <v>46.803224590604032</v>
      </c>
      <c r="M77" s="9">
        <v>131.17600547763095</v>
      </c>
      <c r="N77" s="7">
        <v>47.904996399754538</v>
      </c>
      <c r="O77" s="9">
        <v>293.45999999999998</v>
      </c>
      <c r="P77" s="9">
        <v>127.64</v>
      </c>
      <c r="Q77" s="9">
        <v>45</v>
      </c>
      <c r="R77" s="6">
        <f t="shared" si="4"/>
        <v>77</v>
      </c>
      <c r="S77" s="6">
        <v>34</v>
      </c>
      <c r="T77" s="6">
        <f t="shared" si="5"/>
        <v>96</v>
      </c>
    </row>
    <row r="78" spans="1:20">
      <c r="A78" s="3">
        <v>3166</v>
      </c>
      <c r="B78" s="6" t="s">
        <v>73</v>
      </c>
      <c r="C78" s="6">
        <v>2</v>
      </c>
      <c r="D78" s="7">
        <v>41.090909090909093</v>
      </c>
      <c r="E78" s="7">
        <v>97.8</v>
      </c>
      <c r="F78" s="9">
        <v>65.260000000000005</v>
      </c>
      <c r="G78" s="7">
        <v>81.934599607966035</v>
      </c>
      <c r="H78" s="7">
        <v>1.5899999999999999</v>
      </c>
      <c r="I78" s="9">
        <v>2</v>
      </c>
      <c r="J78" s="7">
        <v>9.6792035398230087</v>
      </c>
      <c r="K78" s="11">
        <v>4.4898841485034939</v>
      </c>
      <c r="L78" s="7">
        <v>48.85503443971632</v>
      </c>
      <c r="M78" s="9">
        <v>110.42034898333047</v>
      </c>
      <c r="N78" s="7">
        <v>49.39350949789138</v>
      </c>
      <c r="O78" s="9" t="s">
        <v>172</v>
      </c>
      <c r="P78" s="9">
        <v>131.16</v>
      </c>
      <c r="Q78" s="9">
        <v>36</v>
      </c>
      <c r="R78" s="6">
        <f t="shared" si="4"/>
        <v>115</v>
      </c>
      <c r="S78" s="6">
        <v>42</v>
      </c>
      <c r="T78" s="6">
        <f t="shared" si="5"/>
        <v>25</v>
      </c>
    </row>
    <row r="79" spans="1:20">
      <c r="A79" s="3">
        <v>3167</v>
      </c>
      <c r="B79" s="6" t="s">
        <v>74</v>
      </c>
      <c r="C79" s="6">
        <v>2</v>
      </c>
      <c r="D79" s="7">
        <v>41.556064073226544</v>
      </c>
      <c r="E79" s="7">
        <v>98.8</v>
      </c>
      <c r="F79" s="9">
        <v>57.72</v>
      </c>
      <c r="G79" s="7">
        <v>82.431961479355166</v>
      </c>
      <c r="H79" s="7">
        <v>1.76</v>
      </c>
      <c r="I79" s="9">
        <v>2</v>
      </c>
      <c r="J79" s="7">
        <v>9.67</v>
      </c>
      <c r="K79" s="11">
        <v>4.5711982487230269</v>
      </c>
      <c r="L79" s="7">
        <v>49.410146253521127</v>
      </c>
      <c r="M79" s="9">
        <v>147.64586130265511</v>
      </c>
      <c r="N79" s="7">
        <v>56.431146204046833</v>
      </c>
      <c r="O79" s="9">
        <v>93.87</v>
      </c>
      <c r="P79" s="9">
        <v>136.75</v>
      </c>
      <c r="Q79" s="9">
        <v>49</v>
      </c>
      <c r="R79" s="6">
        <f t="shared" si="4"/>
        <v>47</v>
      </c>
      <c r="S79" s="6">
        <v>38</v>
      </c>
      <c r="T79" s="6">
        <f t="shared" si="5"/>
        <v>67</v>
      </c>
    </row>
    <row r="80" spans="1:20">
      <c r="A80" s="3">
        <v>3168</v>
      </c>
      <c r="B80" s="6" t="s">
        <v>75</v>
      </c>
      <c r="C80" s="6">
        <v>2</v>
      </c>
      <c r="D80" s="7">
        <v>40.986547085201792</v>
      </c>
      <c r="E80" s="7">
        <v>97.1</v>
      </c>
      <c r="F80" s="9">
        <v>60.67</v>
      </c>
      <c r="G80" s="7">
        <v>83.423961009818612</v>
      </c>
      <c r="H80" s="7">
        <v>1.5</v>
      </c>
      <c r="I80" s="9">
        <v>1</v>
      </c>
      <c r="J80" s="7">
        <v>9.2199999999999989</v>
      </c>
      <c r="K80" s="11">
        <v>4.4695261649119145</v>
      </c>
      <c r="L80" s="7">
        <v>51.971108484848486</v>
      </c>
      <c r="M80" s="9">
        <v>131.73647259900525</v>
      </c>
      <c r="N80" s="7">
        <v>55.679039477931788</v>
      </c>
      <c r="O80" s="9">
        <v>110.21</v>
      </c>
      <c r="P80" s="9">
        <v>140.77000000000001</v>
      </c>
      <c r="Q80" s="9">
        <v>46</v>
      </c>
      <c r="R80" s="6">
        <f t="shared" si="4"/>
        <v>72</v>
      </c>
      <c r="S80" s="6">
        <v>39</v>
      </c>
      <c r="T80" s="6">
        <f t="shared" si="5"/>
        <v>60</v>
      </c>
    </row>
    <row r="81" spans="1:20">
      <c r="A81" s="3">
        <v>3169</v>
      </c>
      <c r="B81" s="6" t="s">
        <v>76</v>
      </c>
      <c r="C81" s="6">
        <v>2</v>
      </c>
      <c r="D81" s="7">
        <v>47.591623036649217</v>
      </c>
      <c r="E81" s="7">
        <v>98.2</v>
      </c>
      <c r="F81" s="9">
        <v>63.769999999999996</v>
      </c>
      <c r="G81" s="7">
        <v>82.662768117056856</v>
      </c>
      <c r="H81" s="7" t="s">
        <v>166</v>
      </c>
      <c r="I81" s="9">
        <v>3</v>
      </c>
      <c r="J81" s="7">
        <v>9.7899999999999974</v>
      </c>
      <c r="K81" s="11">
        <v>4.5756110889609305</v>
      </c>
      <c r="L81" s="7">
        <v>51.590005647058824</v>
      </c>
      <c r="M81" s="9">
        <v>119.56198900853262</v>
      </c>
      <c r="N81" s="7">
        <v>45.36686140285186</v>
      </c>
      <c r="O81" s="9" t="s">
        <v>174</v>
      </c>
      <c r="P81" s="9">
        <v>142.09</v>
      </c>
      <c r="Q81" s="9">
        <v>36</v>
      </c>
      <c r="R81" s="6">
        <f t="shared" si="4"/>
        <v>115</v>
      </c>
      <c r="S81" s="6">
        <v>34</v>
      </c>
      <c r="T81" s="6">
        <f t="shared" si="5"/>
        <v>96</v>
      </c>
    </row>
    <row r="82" spans="1:20">
      <c r="A82" s="3">
        <v>3170</v>
      </c>
      <c r="B82" s="6" t="s">
        <v>77</v>
      </c>
      <c r="C82" s="6">
        <v>2</v>
      </c>
      <c r="D82" s="7">
        <v>42.863849765258216</v>
      </c>
      <c r="E82" s="7">
        <v>98.1</v>
      </c>
      <c r="F82" s="9">
        <v>58.81</v>
      </c>
      <c r="G82" s="7">
        <v>83.216344443668348</v>
      </c>
      <c r="H82" s="7">
        <v>1.67</v>
      </c>
      <c r="I82" s="9">
        <v>2</v>
      </c>
      <c r="J82" s="7">
        <v>9.64</v>
      </c>
      <c r="K82" s="11">
        <v>4.8862581258926712</v>
      </c>
      <c r="L82" s="7">
        <v>53.561363428571433</v>
      </c>
      <c r="M82" s="9">
        <v>137.41753328284125</v>
      </c>
      <c r="N82" s="7">
        <v>53.593493860402866</v>
      </c>
      <c r="O82" s="9">
        <v>131.59</v>
      </c>
      <c r="P82" s="9">
        <v>160.11000000000001</v>
      </c>
      <c r="Q82" s="9">
        <v>50</v>
      </c>
      <c r="R82" s="6">
        <f t="shared" si="4"/>
        <v>41</v>
      </c>
      <c r="S82" s="6">
        <v>36</v>
      </c>
      <c r="T82" s="6">
        <f t="shared" si="5"/>
        <v>84</v>
      </c>
    </row>
    <row r="83" spans="1:20">
      <c r="A83" s="3">
        <v>3171</v>
      </c>
      <c r="B83" s="6" t="s">
        <v>78</v>
      </c>
      <c r="C83" s="6">
        <v>2</v>
      </c>
      <c r="D83" s="7">
        <v>41.541950113378682</v>
      </c>
      <c r="E83" s="7">
        <v>96.3</v>
      </c>
      <c r="F83" s="9">
        <v>57.540000000000006</v>
      </c>
      <c r="G83" s="7">
        <v>81.572080512172661</v>
      </c>
      <c r="H83" s="7">
        <v>1.81</v>
      </c>
      <c r="I83" s="9">
        <v>2</v>
      </c>
      <c r="J83" s="7">
        <v>9.11</v>
      </c>
      <c r="K83" s="11">
        <v>4.2888782962889813</v>
      </c>
      <c r="L83" s="7">
        <v>50.588084307692313</v>
      </c>
      <c r="M83" s="9">
        <v>94.342417671819234</v>
      </c>
      <c r="N83" s="7">
        <v>47.834664402733061</v>
      </c>
      <c r="O83" s="9" t="s">
        <v>172</v>
      </c>
      <c r="P83" s="9">
        <v>125.41</v>
      </c>
      <c r="Q83" s="9">
        <v>32</v>
      </c>
      <c r="R83" s="6">
        <f t="shared" si="4"/>
        <v>119</v>
      </c>
      <c r="S83" s="6">
        <v>32</v>
      </c>
      <c r="T83" s="6">
        <f t="shared" si="5"/>
        <v>106</v>
      </c>
    </row>
    <row r="84" spans="1:20">
      <c r="A84" s="3">
        <v>3172</v>
      </c>
      <c r="B84" s="6" t="s">
        <v>79</v>
      </c>
      <c r="C84" s="6">
        <v>2</v>
      </c>
      <c r="D84" s="7">
        <v>51.129943502824858</v>
      </c>
      <c r="E84" s="7">
        <v>99.2</v>
      </c>
      <c r="F84" s="9">
        <v>59.180000000000007</v>
      </c>
      <c r="G84" s="7">
        <v>82.664706451458358</v>
      </c>
      <c r="H84" s="7">
        <v>1.78</v>
      </c>
      <c r="I84" s="9">
        <v>2</v>
      </c>
      <c r="J84" s="7">
        <v>10.280000000000001</v>
      </c>
      <c r="K84" s="11">
        <v>4.7217227084480617</v>
      </c>
      <c r="L84" s="7">
        <v>49.177158421768709</v>
      </c>
      <c r="M84" s="9">
        <v>115.91185268017472</v>
      </c>
      <c r="N84" s="7">
        <v>48.208984177072487</v>
      </c>
      <c r="O84" s="9">
        <v>204.36</v>
      </c>
      <c r="P84" s="9">
        <v>142.34</v>
      </c>
      <c r="Q84" s="9">
        <v>37</v>
      </c>
      <c r="R84" s="6">
        <f t="shared" si="4"/>
        <v>111</v>
      </c>
      <c r="S84" s="6">
        <v>37</v>
      </c>
      <c r="T84" s="6">
        <f t="shared" si="5"/>
        <v>75</v>
      </c>
    </row>
    <row r="85" spans="1:20">
      <c r="A85" s="3">
        <v>3173</v>
      </c>
      <c r="B85" s="6" t="s">
        <v>80</v>
      </c>
      <c r="C85" s="6">
        <v>2</v>
      </c>
      <c r="D85" s="7">
        <v>40.585585585585584</v>
      </c>
      <c r="E85" s="7">
        <v>96.9</v>
      </c>
      <c r="F85" s="9">
        <v>61.019999999999996</v>
      </c>
      <c r="G85" s="7">
        <v>82.865673559825865</v>
      </c>
      <c r="H85" s="7">
        <v>1.74</v>
      </c>
      <c r="I85" s="9">
        <v>2</v>
      </c>
      <c r="J85" s="7">
        <v>10.629999999999997</v>
      </c>
      <c r="K85" s="11">
        <v>4.7607745726310302</v>
      </c>
      <c r="L85" s="7">
        <v>45.536183500000007</v>
      </c>
      <c r="M85" s="9">
        <v>141.98314379431883</v>
      </c>
      <c r="N85" s="7">
        <v>56.979677209171939</v>
      </c>
      <c r="O85" s="9">
        <v>129.13</v>
      </c>
      <c r="P85" s="9">
        <v>146.38</v>
      </c>
      <c r="Q85" s="9">
        <v>50</v>
      </c>
      <c r="R85" s="6">
        <f t="shared" si="4"/>
        <v>41</v>
      </c>
      <c r="S85" s="6">
        <v>31</v>
      </c>
      <c r="T85" s="6">
        <f t="shared" si="5"/>
        <v>109</v>
      </c>
    </row>
    <row r="86" spans="1:20">
      <c r="A86" s="3">
        <v>3174</v>
      </c>
      <c r="B86" s="6" t="s">
        <v>81</v>
      </c>
      <c r="C86" s="6">
        <v>2</v>
      </c>
      <c r="D86" s="7">
        <v>44.137931034482762</v>
      </c>
      <c r="E86" s="7">
        <v>97.8</v>
      </c>
      <c r="F86" s="9">
        <v>58.650000000000006</v>
      </c>
      <c r="G86" s="7">
        <v>80.82322498516001</v>
      </c>
      <c r="H86" s="7">
        <v>1.8900000000000001</v>
      </c>
      <c r="I86" s="9">
        <v>2</v>
      </c>
      <c r="J86" s="7">
        <v>10.659999999999998</v>
      </c>
      <c r="K86" s="11">
        <v>5.1089182819708006</v>
      </c>
      <c r="L86" s="7">
        <v>49.0828755</v>
      </c>
      <c r="M86" s="9">
        <v>120.69786579982708</v>
      </c>
      <c r="N86" s="7">
        <v>47.179879881266089</v>
      </c>
      <c r="O86" s="9">
        <v>114.52</v>
      </c>
      <c r="P86" s="9">
        <v>162.16999999999999</v>
      </c>
      <c r="Q86" s="9">
        <v>44</v>
      </c>
      <c r="R86" s="6">
        <f t="shared" si="4"/>
        <v>82</v>
      </c>
      <c r="S86" s="6">
        <v>31</v>
      </c>
      <c r="T86" s="6">
        <f t="shared" si="5"/>
        <v>109</v>
      </c>
    </row>
    <row r="87" spans="1:20">
      <c r="A87" s="3">
        <v>3175</v>
      </c>
      <c r="B87" s="6" t="s">
        <v>82</v>
      </c>
      <c r="C87" s="6">
        <v>2</v>
      </c>
      <c r="D87" s="7">
        <v>46.614583333333336</v>
      </c>
      <c r="E87" s="7">
        <v>98</v>
      </c>
      <c r="F87" s="9">
        <v>65.42</v>
      </c>
      <c r="G87" s="7">
        <v>82.846151747349424</v>
      </c>
      <c r="H87" s="7">
        <v>1.76</v>
      </c>
      <c r="I87" s="9">
        <v>2</v>
      </c>
      <c r="J87" s="7">
        <v>11.15</v>
      </c>
      <c r="K87" s="11">
        <v>5.2198794489820584</v>
      </c>
      <c r="L87" s="7">
        <v>48.837283707317063</v>
      </c>
      <c r="M87" s="9">
        <v>142.83284040887713</v>
      </c>
      <c r="N87" s="7">
        <v>52.854063131035424</v>
      </c>
      <c r="O87" s="9">
        <v>79.7</v>
      </c>
      <c r="P87" s="9">
        <v>168.73</v>
      </c>
      <c r="Q87" s="9">
        <v>59</v>
      </c>
      <c r="R87" s="6">
        <f t="shared" si="4"/>
        <v>7</v>
      </c>
      <c r="S87" s="6">
        <v>40</v>
      </c>
      <c r="T87" s="6">
        <f t="shared" si="5"/>
        <v>45</v>
      </c>
    </row>
    <row r="88" spans="1:20">
      <c r="A88" s="3">
        <v>3176</v>
      </c>
      <c r="B88" s="6" t="s">
        <v>83</v>
      </c>
      <c r="C88" s="6">
        <v>2</v>
      </c>
      <c r="D88" s="7">
        <v>40.963302752293579</v>
      </c>
      <c r="E88" s="7">
        <v>96.1</v>
      </c>
      <c r="F88" s="9">
        <v>57.19</v>
      </c>
      <c r="G88" s="7">
        <v>82.68542580512451</v>
      </c>
      <c r="H88" s="7">
        <v>1.69</v>
      </c>
      <c r="I88" s="9">
        <v>1</v>
      </c>
      <c r="J88" s="7">
        <v>10.31</v>
      </c>
      <c r="K88" s="11">
        <v>4.7874801421133251</v>
      </c>
      <c r="L88" s="7">
        <v>46.47174956962025</v>
      </c>
      <c r="M88" s="9">
        <v>133.6221579334192</v>
      </c>
      <c r="N88" s="7">
        <v>43.541506247115585</v>
      </c>
      <c r="O88" s="9">
        <v>60.91</v>
      </c>
      <c r="P88" s="9">
        <v>148.75</v>
      </c>
      <c r="Q88" s="9">
        <v>52</v>
      </c>
      <c r="R88" s="6">
        <f t="shared" si="4"/>
        <v>28</v>
      </c>
      <c r="S88" s="6">
        <v>41</v>
      </c>
      <c r="T88" s="6">
        <f t="shared" si="5"/>
        <v>31</v>
      </c>
    </row>
    <row r="89" spans="1:20">
      <c r="A89" s="3">
        <v>3177</v>
      </c>
      <c r="B89" s="6" t="s">
        <v>84</v>
      </c>
      <c r="C89" s="6">
        <v>2</v>
      </c>
      <c r="D89" s="7">
        <v>45.891472868217058</v>
      </c>
      <c r="E89" s="7">
        <v>97.8</v>
      </c>
      <c r="F89" s="9">
        <v>61.930000000000007</v>
      </c>
      <c r="G89" s="7">
        <v>81.877859474357749</v>
      </c>
      <c r="H89" s="7">
        <v>1.63</v>
      </c>
      <c r="I89" s="9">
        <v>2</v>
      </c>
      <c r="J89" s="7">
        <v>10.459999999999999</v>
      </c>
      <c r="K89" s="11">
        <v>4.5578196393533581</v>
      </c>
      <c r="L89" s="7">
        <v>47.862104328767124</v>
      </c>
      <c r="M89" s="9">
        <v>122.6120807626329</v>
      </c>
      <c r="N89" s="7">
        <v>43.280765456869773</v>
      </c>
      <c r="O89" s="9">
        <v>166.2</v>
      </c>
      <c r="P89" s="9">
        <v>135.86000000000001</v>
      </c>
      <c r="Q89" s="9">
        <v>40</v>
      </c>
      <c r="R89" s="6">
        <f t="shared" si="4"/>
        <v>101</v>
      </c>
      <c r="S89" s="6">
        <v>37</v>
      </c>
      <c r="T89" s="6">
        <f t="shared" si="5"/>
        <v>75</v>
      </c>
    </row>
    <row r="90" spans="1:20">
      <c r="A90" s="3">
        <v>3178</v>
      </c>
      <c r="B90" s="6" t="s">
        <v>85</v>
      </c>
      <c r="C90" s="6">
        <v>2</v>
      </c>
      <c r="D90" s="7">
        <v>44.472361809045225</v>
      </c>
      <c r="E90" s="7">
        <v>97.7</v>
      </c>
      <c r="F90" s="9">
        <v>60.379999999999995</v>
      </c>
      <c r="G90" s="7">
        <v>81.82615286877477</v>
      </c>
      <c r="H90" s="7">
        <v>1.6099999999999999</v>
      </c>
      <c r="I90" s="9">
        <v>2</v>
      </c>
      <c r="J90" s="7">
        <v>10.44</v>
      </c>
      <c r="K90" s="11">
        <v>4.667769417861269</v>
      </c>
      <c r="L90" s="7">
        <v>46.181344825806448</v>
      </c>
      <c r="M90" s="9">
        <v>132.00329154519898</v>
      </c>
      <c r="N90" s="7">
        <v>43.260053576674906</v>
      </c>
      <c r="O90" s="9">
        <v>185.64</v>
      </c>
      <c r="P90" s="9">
        <v>135.6</v>
      </c>
      <c r="Q90" s="9">
        <v>45</v>
      </c>
      <c r="R90" s="6">
        <f t="shared" si="4"/>
        <v>77</v>
      </c>
      <c r="S90" s="6">
        <v>37</v>
      </c>
      <c r="T90" s="6">
        <f t="shared" si="5"/>
        <v>75</v>
      </c>
    </row>
    <row r="91" spans="1:20">
      <c r="A91" s="3">
        <v>3179</v>
      </c>
      <c r="B91" s="6" t="s">
        <v>86</v>
      </c>
      <c r="C91" s="6">
        <v>2</v>
      </c>
      <c r="D91" s="7">
        <v>37.383966244725741</v>
      </c>
      <c r="E91" s="7">
        <v>95.1</v>
      </c>
      <c r="F91" s="9">
        <v>63.91</v>
      </c>
      <c r="G91" s="7">
        <v>81.966732308902607</v>
      </c>
      <c r="H91" s="7">
        <v>1.4</v>
      </c>
      <c r="I91" s="9">
        <v>1</v>
      </c>
      <c r="J91" s="7">
        <v>10.369638826185103</v>
      </c>
      <c r="K91" s="11">
        <v>4.2922137716173712</v>
      </c>
      <c r="L91" s="7">
        <v>42.983339607843135</v>
      </c>
      <c r="M91" s="9">
        <v>133.09808171554644</v>
      </c>
      <c r="N91" s="7">
        <v>41.088823710328576</v>
      </c>
      <c r="O91" s="9">
        <v>94.95</v>
      </c>
      <c r="P91" s="9">
        <v>117.46</v>
      </c>
      <c r="Q91" s="9">
        <v>48</v>
      </c>
      <c r="R91" s="6">
        <f t="shared" si="4"/>
        <v>52</v>
      </c>
      <c r="S91" s="6">
        <v>46</v>
      </c>
      <c r="T91" s="6">
        <f t="shared" si="5"/>
        <v>5</v>
      </c>
    </row>
    <row r="92" spans="1:20">
      <c r="A92" s="3">
        <v>3181</v>
      </c>
      <c r="B92" s="6" t="s">
        <v>87</v>
      </c>
      <c r="C92" s="6">
        <v>2</v>
      </c>
      <c r="D92" s="7">
        <v>42.746987951807228</v>
      </c>
      <c r="E92" s="7">
        <v>96.4</v>
      </c>
      <c r="F92" s="9">
        <v>58.47</v>
      </c>
      <c r="G92" s="7">
        <v>81.739792707220602</v>
      </c>
      <c r="H92" s="7" t="s">
        <v>166</v>
      </c>
      <c r="I92" s="9">
        <v>3</v>
      </c>
      <c r="J92" s="7">
        <v>10.449999999999998</v>
      </c>
      <c r="K92" s="11">
        <v>4.4221485829768428</v>
      </c>
      <c r="L92" s="7">
        <v>46.626751337931033</v>
      </c>
      <c r="M92" s="9">
        <v>92.458199094687387</v>
      </c>
      <c r="N92" s="7">
        <v>30.992510895812913</v>
      </c>
      <c r="O92" s="9">
        <v>188.2</v>
      </c>
      <c r="P92" s="9">
        <v>139.47999999999999</v>
      </c>
      <c r="Q92" s="9">
        <v>33</v>
      </c>
      <c r="R92" s="6">
        <f t="shared" si="4"/>
        <v>118</v>
      </c>
      <c r="S92" s="6">
        <v>40</v>
      </c>
      <c r="T92" s="6">
        <f t="shared" si="5"/>
        <v>45</v>
      </c>
    </row>
    <row r="93" spans="1:20">
      <c r="A93" s="3">
        <v>3182</v>
      </c>
      <c r="B93" s="6" t="s">
        <v>88</v>
      </c>
      <c r="C93" s="6">
        <v>2</v>
      </c>
      <c r="D93" s="7">
        <v>43.260340632603409</v>
      </c>
      <c r="E93" s="7">
        <v>96.8</v>
      </c>
      <c r="F93" s="9">
        <v>63.370000000000005</v>
      </c>
      <c r="G93" s="7">
        <v>81.362715670017465</v>
      </c>
      <c r="H93" s="7" t="s">
        <v>166</v>
      </c>
      <c r="I93" s="9">
        <v>3</v>
      </c>
      <c r="J93" s="7">
        <v>9.7019122609673776</v>
      </c>
      <c r="K93" s="11">
        <v>4.8871529999582579</v>
      </c>
      <c r="L93" s="7">
        <v>53.181495602836883</v>
      </c>
      <c r="M93" s="9">
        <v>95.296138429584843</v>
      </c>
      <c r="N93" s="7">
        <v>42.929121489623967</v>
      </c>
      <c r="O93" s="9">
        <v>103.07</v>
      </c>
      <c r="P93" s="9">
        <v>170.49</v>
      </c>
      <c r="Q93" s="9">
        <v>39</v>
      </c>
      <c r="R93" s="6">
        <f t="shared" si="4"/>
        <v>108</v>
      </c>
      <c r="S93" s="6">
        <v>33</v>
      </c>
      <c r="T93" s="6">
        <f t="shared" si="5"/>
        <v>101</v>
      </c>
    </row>
    <row r="94" spans="1:20">
      <c r="A94" s="3">
        <v>3183</v>
      </c>
      <c r="B94" s="6" t="s">
        <v>89</v>
      </c>
      <c r="C94" s="6">
        <v>2</v>
      </c>
      <c r="D94" s="7">
        <v>43.260340632603409</v>
      </c>
      <c r="E94" s="7">
        <v>98.6</v>
      </c>
      <c r="F94" s="9">
        <v>63.84</v>
      </c>
      <c r="G94" s="7">
        <v>82.326370163702137</v>
      </c>
      <c r="H94" s="7">
        <v>1.78</v>
      </c>
      <c r="I94" s="9">
        <v>2</v>
      </c>
      <c r="J94" s="7">
        <v>10.969999999999997</v>
      </c>
      <c r="K94" s="11">
        <v>4.8149814803675888</v>
      </c>
      <c r="L94" s="7">
        <v>48.083158169934642</v>
      </c>
      <c r="M94" s="9">
        <v>125.35197838279737</v>
      </c>
      <c r="N94" s="7">
        <v>54.197328173553892</v>
      </c>
      <c r="O94" s="9">
        <v>272.67</v>
      </c>
      <c r="P94" s="9">
        <v>162.57</v>
      </c>
      <c r="Q94" s="9">
        <v>47</v>
      </c>
      <c r="R94" s="6">
        <f t="shared" si="4"/>
        <v>62</v>
      </c>
      <c r="S94" s="6">
        <v>33</v>
      </c>
      <c r="T94" s="6">
        <f t="shared" si="5"/>
        <v>101</v>
      </c>
    </row>
    <row r="95" spans="1:20">
      <c r="A95" s="3">
        <v>3184</v>
      </c>
      <c r="B95" s="6" t="s">
        <v>90</v>
      </c>
      <c r="C95" s="6">
        <v>2</v>
      </c>
      <c r="D95" s="7">
        <v>36.016260162601625</v>
      </c>
      <c r="E95" s="7">
        <v>95.5</v>
      </c>
      <c r="F95" s="9">
        <v>59.14</v>
      </c>
      <c r="G95" s="7">
        <v>81.366444206742528</v>
      </c>
      <c r="H95" s="7" t="s">
        <v>166</v>
      </c>
      <c r="I95" s="9">
        <v>3</v>
      </c>
      <c r="J95" s="7">
        <v>8.8882618510158018</v>
      </c>
      <c r="K95" s="11">
        <v>4.0761590388695845</v>
      </c>
      <c r="L95" s="7">
        <v>47.24218581818181</v>
      </c>
      <c r="M95" s="9">
        <v>106.61097370519427</v>
      </c>
      <c r="N95" s="7">
        <v>30.897871562289286</v>
      </c>
      <c r="O95" s="9">
        <v>108.66</v>
      </c>
      <c r="P95" s="9">
        <v>114.16</v>
      </c>
      <c r="Q95" s="9">
        <v>30</v>
      </c>
      <c r="R95" s="6">
        <f t="shared" si="4"/>
        <v>120</v>
      </c>
      <c r="S95" s="6">
        <v>28</v>
      </c>
      <c r="T95" s="6">
        <f t="shared" si="5"/>
        <v>114</v>
      </c>
    </row>
    <row r="96" spans="1:20">
      <c r="A96" s="3">
        <v>3185</v>
      </c>
      <c r="B96" s="6" t="s">
        <v>91</v>
      </c>
      <c r="C96" s="6">
        <v>2</v>
      </c>
      <c r="D96" s="7">
        <v>45.706940874035993</v>
      </c>
      <c r="E96" s="7">
        <v>98.5</v>
      </c>
      <c r="F96" s="9">
        <v>54.459999999999994</v>
      </c>
      <c r="G96" s="7">
        <v>81.950019476536525</v>
      </c>
      <c r="H96" s="7">
        <v>1.48</v>
      </c>
      <c r="I96" s="9">
        <v>1</v>
      </c>
      <c r="J96" s="7">
        <v>10.070000000000002</v>
      </c>
      <c r="K96" s="11">
        <v>4.6493452424905337</v>
      </c>
      <c r="L96" s="7">
        <v>50.364265078014185</v>
      </c>
      <c r="M96" s="9">
        <v>121.6417951341453</v>
      </c>
      <c r="N96" s="7">
        <v>41.537335940112008</v>
      </c>
      <c r="O96" s="9">
        <v>72.58</v>
      </c>
      <c r="P96" s="9">
        <v>147.9</v>
      </c>
      <c r="Q96" s="9">
        <v>48</v>
      </c>
      <c r="R96" s="6">
        <f t="shared" si="4"/>
        <v>52</v>
      </c>
      <c r="S96" s="6">
        <v>45</v>
      </c>
      <c r="T96" s="6">
        <f t="shared" si="5"/>
        <v>10</v>
      </c>
    </row>
    <row r="97" spans="1:20">
      <c r="A97" s="3">
        <v>3186</v>
      </c>
      <c r="B97" s="6" t="s">
        <v>92</v>
      </c>
      <c r="C97" s="6">
        <v>2</v>
      </c>
      <c r="D97" s="7">
        <v>42.075471698113205</v>
      </c>
      <c r="E97" s="7">
        <v>98</v>
      </c>
      <c r="F97" s="9">
        <v>64.11</v>
      </c>
      <c r="G97" s="7">
        <v>81.431434598065479</v>
      </c>
      <c r="H97" s="7">
        <v>1.8199999999999998</v>
      </c>
      <c r="I97" s="9">
        <v>2</v>
      </c>
      <c r="J97" s="7">
        <v>10.910000000000002</v>
      </c>
      <c r="K97" s="11">
        <v>4.3950749531967377</v>
      </c>
      <c r="L97" s="7">
        <v>40.878852878048782</v>
      </c>
      <c r="M97" s="9">
        <v>135.66918912760207</v>
      </c>
      <c r="N97" s="7">
        <v>38.850704636154909</v>
      </c>
      <c r="O97" s="9">
        <v>102.97</v>
      </c>
      <c r="P97" s="9">
        <v>131.04</v>
      </c>
      <c r="Q97" s="9">
        <v>44</v>
      </c>
      <c r="R97" s="6">
        <f t="shared" si="4"/>
        <v>82</v>
      </c>
      <c r="S97" s="6">
        <v>39</v>
      </c>
      <c r="T97" s="6">
        <f t="shared" si="5"/>
        <v>60</v>
      </c>
    </row>
    <row r="98" spans="1:20">
      <c r="A98" s="3">
        <v>3187</v>
      </c>
      <c r="B98" s="6" t="s">
        <v>93</v>
      </c>
      <c r="C98" s="6">
        <v>2</v>
      </c>
      <c r="D98" s="7">
        <v>39.424778761061944</v>
      </c>
      <c r="E98" s="7">
        <v>96.8</v>
      </c>
      <c r="F98" s="9">
        <v>61.599999999999994</v>
      </c>
      <c r="G98" s="7">
        <v>80.981022117781407</v>
      </c>
      <c r="H98" s="7">
        <v>1.98</v>
      </c>
      <c r="I98" s="9">
        <v>2</v>
      </c>
      <c r="J98" s="7">
        <v>10.451739618406286</v>
      </c>
      <c r="K98" s="11">
        <v>4.3830826733634085</v>
      </c>
      <c r="L98" s="7">
        <v>44.788790933333345</v>
      </c>
      <c r="M98" s="9">
        <v>100.78381771261607</v>
      </c>
      <c r="N98" s="7">
        <v>43.609862804822207</v>
      </c>
      <c r="O98" s="9">
        <v>196.97</v>
      </c>
      <c r="P98" s="9">
        <v>131.37</v>
      </c>
      <c r="Q98" s="9">
        <v>36</v>
      </c>
      <c r="R98" s="6">
        <f t="shared" si="4"/>
        <v>115</v>
      </c>
      <c r="S98" s="6">
        <v>43</v>
      </c>
      <c r="T98" s="6">
        <f t="shared" si="5"/>
        <v>19</v>
      </c>
    </row>
    <row r="99" spans="1:20">
      <c r="A99" s="3">
        <v>3188</v>
      </c>
      <c r="B99" s="6" t="s">
        <v>94</v>
      </c>
      <c r="C99" s="6">
        <v>2</v>
      </c>
      <c r="D99" s="7">
        <v>45.663265306122447</v>
      </c>
      <c r="E99" s="7">
        <v>98.5</v>
      </c>
      <c r="F99" s="9">
        <v>60.629999999999995</v>
      </c>
      <c r="G99" s="7">
        <v>82.262096102977338</v>
      </c>
      <c r="H99" s="7">
        <v>1.24</v>
      </c>
      <c r="I99" s="9">
        <v>1</v>
      </c>
      <c r="J99" s="7">
        <v>10.05586592178771</v>
      </c>
      <c r="K99" s="11">
        <v>4.6359172026293995</v>
      </c>
      <c r="L99" s="7">
        <v>49.659869762237761</v>
      </c>
      <c r="M99" s="9">
        <v>129.70294054279111</v>
      </c>
      <c r="N99" s="7">
        <v>51.198219214394186</v>
      </c>
      <c r="O99" s="9">
        <v>119.05</v>
      </c>
      <c r="P99" s="9">
        <v>145.05000000000001</v>
      </c>
      <c r="Q99" s="9">
        <v>47</v>
      </c>
      <c r="R99" s="6">
        <f t="shared" si="4"/>
        <v>62</v>
      </c>
      <c r="S99" s="6">
        <v>41</v>
      </c>
      <c r="T99" s="6">
        <f t="shared" si="5"/>
        <v>31</v>
      </c>
    </row>
    <row r="100" spans="1:20">
      <c r="A100" s="3">
        <v>3189</v>
      </c>
      <c r="B100" s="6" t="s">
        <v>95</v>
      </c>
      <c r="C100" s="6">
        <v>2</v>
      </c>
      <c r="D100" s="7">
        <v>43.609756097560975</v>
      </c>
      <c r="E100" s="7">
        <v>96.7</v>
      </c>
      <c r="F100" s="9">
        <v>61.75</v>
      </c>
      <c r="G100" s="7">
        <v>81.639133755184588</v>
      </c>
      <c r="H100" s="7">
        <v>1.73</v>
      </c>
      <c r="I100" s="9">
        <v>2</v>
      </c>
      <c r="J100" s="7">
        <v>10.137024608501118</v>
      </c>
      <c r="K100" s="11">
        <v>4.7755996568724015</v>
      </c>
      <c r="L100" s="7">
        <v>49.756210176870745</v>
      </c>
      <c r="M100" s="9">
        <v>119.38082391369308</v>
      </c>
      <c r="N100" s="7">
        <v>37.276962451754137</v>
      </c>
      <c r="O100" s="9">
        <v>61.18</v>
      </c>
      <c r="P100" s="9">
        <v>145.65</v>
      </c>
      <c r="Q100" s="9">
        <v>40</v>
      </c>
      <c r="R100" s="6">
        <f t="shared" si="4"/>
        <v>101</v>
      </c>
      <c r="S100" s="6">
        <v>44</v>
      </c>
      <c r="T100" s="6">
        <f t="shared" si="5"/>
        <v>15</v>
      </c>
    </row>
    <row r="101" spans="1:20">
      <c r="A101" s="3">
        <v>3190</v>
      </c>
      <c r="B101" s="6" t="s">
        <v>96</v>
      </c>
      <c r="C101" s="6">
        <v>2</v>
      </c>
      <c r="D101" s="7">
        <v>44.676616915422883</v>
      </c>
      <c r="E101" s="7">
        <v>98.9</v>
      </c>
      <c r="F101" s="9">
        <v>55.709999999999994</v>
      </c>
      <c r="G101" s="7">
        <v>81.883188988705314</v>
      </c>
      <c r="H101" s="7">
        <v>1.53</v>
      </c>
      <c r="I101" s="9">
        <v>1</v>
      </c>
      <c r="J101" s="7">
        <v>10.760000000000002</v>
      </c>
      <c r="K101" s="11">
        <v>4.6341604567647066</v>
      </c>
      <c r="L101" s="7">
        <v>46.719482736842103</v>
      </c>
      <c r="M101" s="9">
        <v>135.83663856811631</v>
      </c>
      <c r="N101" s="7">
        <v>43.988140678780027</v>
      </c>
      <c r="O101" s="9">
        <v>66.83</v>
      </c>
      <c r="P101" s="9">
        <v>137.59</v>
      </c>
      <c r="Q101" s="9">
        <v>53</v>
      </c>
      <c r="R101" s="6">
        <f t="shared" si="4"/>
        <v>25</v>
      </c>
      <c r="S101" s="6">
        <v>40</v>
      </c>
      <c r="T101" s="6">
        <f t="shared" si="5"/>
        <v>45</v>
      </c>
    </row>
    <row r="102" spans="1:20">
      <c r="A102" s="3">
        <v>3191</v>
      </c>
      <c r="B102" s="6" t="s">
        <v>97</v>
      </c>
      <c r="C102" s="6">
        <v>2</v>
      </c>
      <c r="D102" s="7" t="s">
        <v>168</v>
      </c>
      <c r="E102" s="7">
        <v>98.8</v>
      </c>
      <c r="F102" s="9">
        <v>53.519999999999996</v>
      </c>
      <c r="G102" s="7">
        <v>81.294692269493225</v>
      </c>
      <c r="H102" s="7">
        <v>1.98</v>
      </c>
      <c r="I102" s="9">
        <v>2</v>
      </c>
      <c r="J102" s="7">
        <v>11.729999999999995</v>
      </c>
      <c r="K102" s="11">
        <v>5.1582986320078899</v>
      </c>
      <c r="L102" s="7">
        <v>45.200040868571428</v>
      </c>
      <c r="M102" s="9">
        <v>144.97534943747064</v>
      </c>
      <c r="N102" s="7">
        <v>53.385694204383029</v>
      </c>
      <c r="O102" s="9">
        <v>185.4</v>
      </c>
      <c r="P102" s="9">
        <v>164.4</v>
      </c>
      <c r="Q102" s="9">
        <v>52</v>
      </c>
      <c r="R102" s="6">
        <f t="shared" ref="R102:R133" si="6">RANK(Q102,$Q$6:$Q$125)</f>
        <v>28</v>
      </c>
      <c r="S102" s="6">
        <v>18</v>
      </c>
      <c r="T102" s="6">
        <f t="shared" ref="T102:T133" si="7">RANK(S102,$S$6:$S$125)</f>
        <v>120</v>
      </c>
    </row>
    <row r="103" spans="1:20">
      <c r="A103" s="3">
        <v>3192</v>
      </c>
      <c r="B103" s="6" t="s">
        <v>98</v>
      </c>
      <c r="C103" s="6">
        <v>2</v>
      </c>
      <c r="D103" s="7">
        <v>43.75903614457831</v>
      </c>
      <c r="E103" s="7">
        <v>97.7</v>
      </c>
      <c r="F103" s="9">
        <v>53.64</v>
      </c>
      <c r="G103" s="7">
        <v>81.67008698128717</v>
      </c>
      <c r="H103" s="7">
        <v>1.72</v>
      </c>
      <c r="I103" s="9">
        <v>1</v>
      </c>
      <c r="J103" s="7">
        <v>9.6365638766519819</v>
      </c>
      <c r="K103" s="11">
        <v>4.7210988239784717</v>
      </c>
      <c r="L103" s="7">
        <v>52.384364405797108</v>
      </c>
      <c r="M103" s="9">
        <v>129.32769660554064</v>
      </c>
      <c r="N103" s="7">
        <v>41.017218813234429</v>
      </c>
      <c r="O103" s="9">
        <v>138.34</v>
      </c>
      <c r="P103" s="9">
        <v>149.78</v>
      </c>
      <c r="Q103" s="9">
        <v>44</v>
      </c>
      <c r="R103" s="6">
        <f t="shared" si="6"/>
        <v>82</v>
      </c>
      <c r="S103" s="6">
        <v>33</v>
      </c>
      <c r="T103" s="6">
        <f t="shared" si="7"/>
        <v>101</v>
      </c>
    </row>
    <row r="104" spans="1:20">
      <c r="A104" s="3">
        <v>3193</v>
      </c>
      <c r="B104" s="6" t="s">
        <v>99</v>
      </c>
      <c r="C104" s="6">
        <v>2</v>
      </c>
      <c r="D104" s="7">
        <v>48.148148148148145</v>
      </c>
      <c r="E104" s="7">
        <v>99.1</v>
      </c>
      <c r="F104" s="9">
        <v>59.629999999999995</v>
      </c>
      <c r="G104" s="7">
        <v>81.366562150546471</v>
      </c>
      <c r="H104" s="7">
        <v>2.02</v>
      </c>
      <c r="I104" s="9">
        <v>2</v>
      </c>
      <c r="J104" s="7">
        <v>11.085164835164836</v>
      </c>
      <c r="K104" s="11">
        <v>4.9488710914715703</v>
      </c>
      <c r="L104" s="7">
        <v>46.017666796116501</v>
      </c>
      <c r="M104" s="9">
        <v>132.13246008530675</v>
      </c>
      <c r="N104" s="7">
        <v>44.927848744821482</v>
      </c>
      <c r="O104" s="9">
        <v>79.69</v>
      </c>
      <c r="P104" s="9">
        <v>157.5</v>
      </c>
      <c r="Q104" s="9">
        <v>61</v>
      </c>
      <c r="R104" s="6">
        <f t="shared" si="6"/>
        <v>4</v>
      </c>
      <c r="S104" s="6">
        <v>35</v>
      </c>
      <c r="T104" s="6">
        <f t="shared" si="7"/>
        <v>92</v>
      </c>
    </row>
    <row r="105" spans="1:20">
      <c r="A105" s="3">
        <v>3194</v>
      </c>
      <c r="B105" s="6" t="s">
        <v>100</v>
      </c>
      <c r="C105" s="6">
        <v>2</v>
      </c>
      <c r="D105" s="7">
        <v>42.742316784869978</v>
      </c>
      <c r="E105" s="7">
        <v>98.7</v>
      </c>
      <c r="F105" s="9">
        <v>57.709999999999994</v>
      </c>
      <c r="G105" s="7">
        <v>82.151823368497205</v>
      </c>
      <c r="H105" s="7">
        <v>1.77</v>
      </c>
      <c r="I105" s="9">
        <v>2</v>
      </c>
      <c r="J105" s="7">
        <v>10.854535398230087</v>
      </c>
      <c r="K105" s="11">
        <v>4.7306721196888786</v>
      </c>
      <c r="L105" s="7">
        <v>45.843221873417725</v>
      </c>
      <c r="M105" s="9">
        <v>135.20496572080839</v>
      </c>
      <c r="N105" s="7">
        <v>49.863335860313718</v>
      </c>
      <c r="O105" s="9">
        <v>124.41</v>
      </c>
      <c r="P105" s="9">
        <v>157.76</v>
      </c>
      <c r="Q105" s="9">
        <v>48</v>
      </c>
      <c r="R105" s="6">
        <f t="shared" si="6"/>
        <v>52</v>
      </c>
      <c r="S105" s="6">
        <v>36</v>
      </c>
      <c r="T105" s="6">
        <f t="shared" si="7"/>
        <v>84</v>
      </c>
    </row>
    <row r="106" spans="1:20">
      <c r="A106" s="3">
        <v>3195</v>
      </c>
      <c r="B106" s="6" t="s">
        <v>101</v>
      </c>
      <c r="C106" s="6">
        <v>2</v>
      </c>
      <c r="D106" s="7">
        <v>40.585585585585584</v>
      </c>
      <c r="E106" s="7">
        <v>96.4</v>
      </c>
      <c r="F106" s="9">
        <v>60.94</v>
      </c>
      <c r="G106" s="7">
        <v>83.115235412879642</v>
      </c>
      <c r="H106" s="7" t="s">
        <v>166</v>
      </c>
      <c r="I106" s="9">
        <v>3</v>
      </c>
      <c r="J106" s="7">
        <v>9.5033296337402895</v>
      </c>
      <c r="K106" s="11">
        <v>4.7738861012685465</v>
      </c>
      <c r="L106" s="7">
        <v>53.001180405797086</v>
      </c>
      <c r="M106" s="9">
        <v>131.43125884364193</v>
      </c>
      <c r="N106" s="7">
        <v>57.407510460512299</v>
      </c>
      <c r="O106" s="9">
        <v>29.93</v>
      </c>
      <c r="P106" s="9">
        <v>168.16</v>
      </c>
      <c r="Q106" s="9">
        <v>48</v>
      </c>
      <c r="R106" s="6">
        <f t="shared" si="6"/>
        <v>52</v>
      </c>
      <c r="S106" s="6">
        <v>38</v>
      </c>
      <c r="T106" s="6">
        <f t="shared" si="7"/>
        <v>67</v>
      </c>
    </row>
    <row r="107" spans="1:20">
      <c r="A107" s="3">
        <v>3196</v>
      </c>
      <c r="B107" s="6" t="s">
        <v>102</v>
      </c>
      <c r="C107" s="6">
        <v>2</v>
      </c>
      <c r="D107" s="7">
        <v>44.127764127764131</v>
      </c>
      <c r="E107" s="7">
        <v>97.2</v>
      </c>
      <c r="F107" s="9">
        <v>65.709999999999994</v>
      </c>
      <c r="G107" s="7">
        <v>82.412310122854663</v>
      </c>
      <c r="H107" s="7" t="s">
        <v>166</v>
      </c>
      <c r="I107" s="9">
        <v>3</v>
      </c>
      <c r="J107" s="7">
        <v>10.17</v>
      </c>
      <c r="K107" s="11">
        <v>5.2587064390989857</v>
      </c>
      <c r="L107" s="7">
        <v>53.962900906666661</v>
      </c>
      <c r="M107" s="9">
        <v>84.843052876847395</v>
      </c>
      <c r="N107" s="7">
        <v>58.907503354231828</v>
      </c>
      <c r="O107" s="9">
        <v>76.08</v>
      </c>
      <c r="P107" s="9">
        <v>199.07</v>
      </c>
      <c r="Q107" s="9">
        <v>49</v>
      </c>
      <c r="R107" s="6">
        <f t="shared" si="6"/>
        <v>47</v>
      </c>
      <c r="S107" s="6">
        <v>40</v>
      </c>
      <c r="T107" s="6">
        <f t="shared" si="7"/>
        <v>45</v>
      </c>
    </row>
    <row r="108" spans="1:20">
      <c r="A108" s="3">
        <v>3197</v>
      </c>
      <c r="B108" s="6" t="s">
        <v>103</v>
      </c>
      <c r="C108" s="6">
        <v>2</v>
      </c>
      <c r="D108" s="7">
        <v>48.355795148247978</v>
      </c>
      <c r="E108" s="7">
        <v>98.6</v>
      </c>
      <c r="F108" s="9">
        <v>68.239999999999995</v>
      </c>
      <c r="G108" s="7">
        <v>82.859349071836959</v>
      </c>
      <c r="H108" s="7">
        <v>1.8599999999999999</v>
      </c>
      <c r="I108" s="9">
        <v>2</v>
      </c>
      <c r="J108" s="7">
        <v>11.2876254180602</v>
      </c>
      <c r="K108" s="11">
        <v>4.8190068863173261</v>
      </c>
      <c r="L108" s="7">
        <v>45.870166062111799</v>
      </c>
      <c r="M108" s="9">
        <v>126.09359592106122</v>
      </c>
      <c r="N108" s="7">
        <v>43.718199590758118</v>
      </c>
      <c r="O108" s="9">
        <v>116.06</v>
      </c>
      <c r="P108" s="9">
        <v>155.59</v>
      </c>
      <c r="Q108" s="9">
        <v>57</v>
      </c>
      <c r="R108" s="6">
        <f t="shared" si="6"/>
        <v>13</v>
      </c>
      <c r="S108" s="6">
        <v>36</v>
      </c>
      <c r="T108" s="6">
        <f t="shared" si="7"/>
        <v>84</v>
      </c>
    </row>
    <row r="109" spans="1:20">
      <c r="A109" s="3">
        <v>3198</v>
      </c>
      <c r="B109" s="6" t="s">
        <v>104</v>
      </c>
      <c r="C109" s="6">
        <v>2</v>
      </c>
      <c r="D109" s="7">
        <v>44.088669950738918</v>
      </c>
      <c r="E109" s="7">
        <v>97.7</v>
      </c>
      <c r="F109" s="9">
        <v>59.239999999999995</v>
      </c>
      <c r="G109" s="7">
        <v>82.477093418407279</v>
      </c>
      <c r="H109" s="7">
        <v>1.81</v>
      </c>
      <c r="I109" s="9">
        <v>2</v>
      </c>
      <c r="J109" s="7">
        <v>11.180000000000001</v>
      </c>
      <c r="K109" s="11">
        <v>4.8125320192012593</v>
      </c>
      <c r="L109" s="7">
        <v>47.249422871794877</v>
      </c>
      <c r="M109" s="9">
        <v>142.13676502809926</v>
      </c>
      <c r="N109" s="7">
        <v>49.36643195999789</v>
      </c>
      <c r="O109" s="9">
        <v>57.22</v>
      </c>
      <c r="P109" s="9">
        <v>158.28</v>
      </c>
      <c r="Q109" s="9">
        <v>56</v>
      </c>
      <c r="R109" s="6">
        <f t="shared" si="6"/>
        <v>17</v>
      </c>
      <c r="S109" s="6">
        <v>40</v>
      </c>
      <c r="T109" s="6">
        <f t="shared" si="7"/>
        <v>45</v>
      </c>
    </row>
    <row r="110" spans="1:20">
      <c r="A110" s="3">
        <v>3199</v>
      </c>
      <c r="B110" s="6" t="s">
        <v>105</v>
      </c>
      <c r="C110" s="6">
        <v>2</v>
      </c>
      <c r="D110" s="7">
        <v>48.672086720867206</v>
      </c>
      <c r="E110" s="7">
        <v>97.9</v>
      </c>
      <c r="F110" s="9">
        <v>69.150000000000006</v>
      </c>
      <c r="G110" s="7">
        <v>82.956918801201411</v>
      </c>
      <c r="H110" s="7">
        <v>1.63</v>
      </c>
      <c r="I110" s="9">
        <v>1</v>
      </c>
      <c r="J110" s="7">
        <v>11.449999999999998</v>
      </c>
      <c r="K110" s="11">
        <v>5.2346889967056383</v>
      </c>
      <c r="L110" s="7">
        <v>49.136898944785273</v>
      </c>
      <c r="M110" s="9">
        <v>130.70446287341753</v>
      </c>
      <c r="N110" s="7">
        <v>44.89032873003606</v>
      </c>
      <c r="O110" s="9">
        <v>57.83</v>
      </c>
      <c r="P110" s="9">
        <v>192.88</v>
      </c>
      <c r="Q110" s="9">
        <v>60</v>
      </c>
      <c r="R110" s="6">
        <f t="shared" si="6"/>
        <v>5</v>
      </c>
      <c r="S110" s="6">
        <v>37</v>
      </c>
      <c r="T110" s="6">
        <f t="shared" si="7"/>
        <v>75</v>
      </c>
    </row>
    <row r="111" spans="1:20">
      <c r="A111" s="3">
        <v>3200</v>
      </c>
      <c r="B111" s="6" t="s">
        <v>106</v>
      </c>
      <c r="C111" s="6">
        <v>2</v>
      </c>
      <c r="D111" s="7">
        <v>42.918660287081337</v>
      </c>
      <c r="E111" s="7">
        <v>97.5</v>
      </c>
      <c r="F111" s="9">
        <v>64.22</v>
      </c>
      <c r="G111" s="7">
        <v>82.524972577891987</v>
      </c>
      <c r="H111" s="7">
        <v>1.9300000000000002</v>
      </c>
      <c r="I111" s="9">
        <v>2</v>
      </c>
      <c r="J111" s="7">
        <v>12.123745819397993</v>
      </c>
      <c r="K111" s="11">
        <v>4.9371319093473227</v>
      </c>
      <c r="L111" s="7">
        <v>41.285999737704913</v>
      </c>
      <c r="M111" s="9">
        <v>138.20375894429839</v>
      </c>
      <c r="N111" s="7">
        <v>50.510320119545753</v>
      </c>
      <c r="O111" s="9">
        <v>37.479999999999997</v>
      </c>
      <c r="P111" s="9">
        <v>168.13</v>
      </c>
      <c r="Q111" s="9">
        <v>64</v>
      </c>
      <c r="R111" s="6">
        <f t="shared" si="6"/>
        <v>2</v>
      </c>
      <c r="S111" s="6">
        <v>40</v>
      </c>
      <c r="T111" s="6">
        <f t="shared" si="7"/>
        <v>45</v>
      </c>
    </row>
    <row r="112" spans="1:20">
      <c r="A112" s="3">
        <v>3201</v>
      </c>
      <c r="B112" s="6" t="s">
        <v>107</v>
      </c>
      <c r="C112" s="6">
        <v>2</v>
      </c>
      <c r="D112" s="7">
        <v>43.552311435523116</v>
      </c>
      <c r="E112" s="7">
        <v>96.2</v>
      </c>
      <c r="F112" s="9">
        <v>59.75</v>
      </c>
      <c r="G112" s="7">
        <v>81.6201679825773</v>
      </c>
      <c r="H112" s="7">
        <v>1.52</v>
      </c>
      <c r="I112" s="9">
        <v>1</v>
      </c>
      <c r="J112" s="7">
        <v>10.544692737430168</v>
      </c>
      <c r="K112" s="11">
        <v>4.8301740575083896</v>
      </c>
      <c r="L112" s="7">
        <v>48.047295480519495</v>
      </c>
      <c r="M112" s="9">
        <v>130.34352995279664</v>
      </c>
      <c r="N112" s="7">
        <v>43.350722964540992</v>
      </c>
      <c r="O112" s="9">
        <v>118.83</v>
      </c>
      <c r="P112" s="9">
        <v>158.54</v>
      </c>
      <c r="Q112" s="9">
        <v>48</v>
      </c>
      <c r="R112" s="6">
        <f t="shared" si="6"/>
        <v>52</v>
      </c>
      <c r="S112" s="6">
        <v>37</v>
      </c>
      <c r="T112" s="6">
        <f t="shared" si="7"/>
        <v>75</v>
      </c>
    </row>
    <row r="113" spans="1:20">
      <c r="A113" s="3">
        <v>3202</v>
      </c>
      <c r="B113" s="6" t="s">
        <v>108</v>
      </c>
      <c r="C113" s="6">
        <v>2</v>
      </c>
      <c r="D113" s="7">
        <v>41.241379310344826</v>
      </c>
      <c r="E113" s="7">
        <v>96</v>
      </c>
      <c r="F113" s="9">
        <v>61.81</v>
      </c>
      <c r="G113" s="7">
        <v>83.20322400198819</v>
      </c>
      <c r="H113" s="7">
        <v>1.6800000000000002</v>
      </c>
      <c r="I113" s="9">
        <v>1</v>
      </c>
      <c r="J113" s="7">
        <v>9.98</v>
      </c>
      <c r="K113" s="11">
        <v>4.6713557541169166</v>
      </c>
      <c r="L113" s="7">
        <v>47.092818736842105</v>
      </c>
      <c r="M113" s="9">
        <v>133.82171476008477</v>
      </c>
      <c r="N113" s="7">
        <v>53.744984141629757</v>
      </c>
      <c r="O113" s="9">
        <v>23.45</v>
      </c>
      <c r="P113" s="9">
        <v>155.52000000000001</v>
      </c>
      <c r="Q113" s="9">
        <v>50</v>
      </c>
      <c r="R113" s="6">
        <f t="shared" si="6"/>
        <v>41</v>
      </c>
      <c r="S113" s="6">
        <v>48</v>
      </c>
      <c r="T113" s="6">
        <f t="shared" si="7"/>
        <v>3</v>
      </c>
    </row>
    <row r="114" spans="1:20">
      <c r="A114" s="3">
        <v>3203</v>
      </c>
      <c r="B114" s="6" t="s">
        <v>109</v>
      </c>
      <c r="C114" s="6">
        <v>2</v>
      </c>
      <c r="D114" s="7">
        <v>47.335092348284959</v>
      </c>
      <c r="E114" s="7">
        <v>98.5</v>
      </c>
      <c r="F114" s="9">
        <v>52.09</v>
      </c>
      <c r="G114" s="7">
        <v>81.325419312818866</v>
      </c>
      <c r="H114" s="7">
        <v>1.5699999999999998</v>
      </c>
      <c r="I114" s="9">
        <v>1</v>
      </c>
      <c r="J114" s="7">
        <v>10.312151616499442</v>
      </c>
      <c r="K114" s="11">
        <v>4.9908481267711613</v>
      </c>
      <c r="L114" s="7">
        <v>49.613367272727274</v>
      </c>
      <c r="M114" s="9">
        <v>135.10971916239521</v>
      </c>
      <c r="N114" s="7">
        <v>49.624734391357904</v>
      </c>
      <c r="O114" s="9">
        <v>105.36</v>
      </c>
      <c r="P114" s="9">
        <v>145.59</v>
      </c>
      <c r="Q114" s="9">
        <v>48</v>
      </c>
      <c r="R114" s="6">
        <f t="shared" si="6"/>
        <v>52</v>
      </c>
      <c r="S114" s="6">
        <v>33</v>
      </c>
      <c r="T114" s="6">
        <f t="shared" si="7"/>
        <v>101</v>
      </c>
    </row>
    <row r="115" spans="1:20">
      <c r="A115" s="3">
        <v>3204</v>
      </c>
      <c r="B115" s="6" t="s">
        <v>110</v>
      </c>
      <c r="C115" s="6">
        <v>2</v>
      </c>
      <c r="D115" s="7">
        <v>43.535108958837775</v>
      </c>
      <c r="E115" s="7">
        <v>98.6</v>
      </c>
      <c r="F115" s="9">
        <v>60.260000000000005</v>
      </c>
      <c r="G115" s="7">
        <v>82.443984504208146</v>
      </c>
      <c r="H115" s="7">
        <v>1.6</v>
      </c>
      <c r="I115" s="9">
        <v>1</v>
      </c>
      <c r="J115" s="7">
        <v>11.089999999999998</v>
      </c>
      <c r="K115" s="11">
        <v>5.2355858535093969</v>
      </c>
      <c r="L115" s="7">
        <v>48.334345156626505</v>
      </c>
      <c r="M115" s="9">
        <v>160.19449113713932</v>
      </c>
      <c r="N115" s="7">
        <v>55.342197917919641</v>
      </c>
      <c r="O115" s="9">
        <v>36.39</v>
      </c>
      <c r="P115" s="9">
        <v>179.5</v>
      </c>
      <c r="Q115" s="9">
        <v>60</v>
      </c>
      <c r="R115" s="6">
        <f t="shared" si="6"/>
        <v>5</v>
      </c>
      <c r="S115" s="6">
        <v>41</v>
      </c>
      <c r="T115" s="6">
        <f t="shared" si="7"/>
        <v>31</v>
      </c>
    </row>
    <row r="116" spans="1:20">
      <c r="A116" s="3">
        <v>3205</v>
      </c>
      <c r="B116" s="6" t="s">
        <v>111</v>
      </c>
      <c r="C116" s="6">
        <v>2</v>
      </c>
      <c r="D116" s="7">
        <v>45.801526717557252</v>
      </c>
      <c r="E116" s="7">
        <v>98.2</v>
      </c>
      <c r="F116" s="9">
        <v>60.42</v>
      </c>
      <c r="G116" s="7">
        <v>81.682724325788882</v>
      </c>
      <c r="H116" s="7" t="s">
        <v>166</v>
      </c>
      <c r="I116" s="9">
        <v>3</v>
      </c>
      <c r="J116" s="7">
        <v>10.67</v>
      </c>
      <c r="K116" s="11">
        <v>4.6244812406676399</v>
      </c>
      <c r="L116" s="7">
        <v>46.626148736842111</v>
      </c>
      <c r="M116" s="9">
        <v>126.68369449006036</v>
      </c>
      <c r="N116" s="7">
        <v>41.174362585606502</v>
      </c>
      <c r="O116" s="9">
        <v>225.23</v>
      </c>
      <c r="P116" s="9">
        <v>151.32</v>
      </c>
      <c r="Q116" s="9">
        <v>44</v>
      </c>
      <c r="R116" s="6">
        <f t="shared" si="6"/>
        <v>82</v>
      </c>
      <c r="S116" s="6">
        <v>35</v>
      </c>
      <c r="T116" s="6">
        <f t="shared" si="7"/>
        <v>92</v>
      </c>
    </row>
    <row r="117" spans="1:20">
      <c r="A117" s="3">
        <v>3206</v>
      </c>
      <c r="B117" s="6" t="s">
        <v>112</v>
      </c>
      <c r="C117" s="6">
        <v>2</v>
      </c>
      <c r="D117" s="7">
        <v>42.494117647058822</v>
      </c>
      <c r="E117" s="7">
        <v>97.8</v>
      </c>
      <c r="F117" s="9">
        <v>62.3</v>
      </c>
      <c r="G117" s="7">
        <v>82.942617830778389</v>
      </c>
      <c r="H117" s="7">
        <v>1.71</v>
      </c>
      <c r="I117" s="9">
        <v>1</v>
      </c>
      <c r="J117" s="7">
        <v>10.459999999999997</v>
      </c>
      <c r="K117" s="11">
        <v>4.8739248289457153</v>
      </c>
      <c r="L117" s="7">
        <v>48.10342307096775</v>
      </c>
      <c r="M117" s="9">
        <v>122.27116670114016</v>
      </c>
      <c r="N117" s="7">
        <v>52.850307310114417</v>
      </c>
      <c r="O117" s="9">
        <v>115.03</v>
      </c>
      <c r="P117" s="9">
        <v>161.91</v>
      </c>
      <c r="Q117" s="9">
        <v>51</v>
      </c>
      <c r="R117" s="6">
        <f t="shared" si="6"/>
        <v>35</v>
      </c>
      <c r="S117" s="6">
        <v>42</v>
      </c>
      <c r="T117" s="6">
        <f t="shared" si="7"/>
        <v>25</v>
      </c>
    </row>
    <row r="118" spans="1:20">
      <c r="A118" s="3">
        <v>3207</v>
      </c>
      <c r="B118" s="6" t="s">
        <v>113</v>
      </c>
      <c r="C118" s="6">
        <v>2</v>
      </c>
      <c r="D118" s="7">
        <v>44.455445544554458</v>
      </c>
      <c r="E118" s="7">
        <v>96.6</v>
      </c>
      <c r="F118" s="9">
        <v>56.709999999999994</v>
      </c>
      <c r="G118" s="7">
        <v>81.731327711801157</v>
      </c>
      <c r="H118" s="7">
        <v>1.73</v>
      </c>
      <c r="I118" s="9">
        <v>2</v>
      </c>
      <c r="J118" s="7">
        <v>11.275055679287306</v>
      </c>
      <c r="K118" s="11">
        <v>4.903172872971</v>
      </c>
      <c r="L118" s="7">
        <v>47.549225620253175</v>
      </c>
      <c r="M118" s="9">
        <v>126.44324363120765</v>
      </c>
      <c r="N118" s="7">
        <v>54.261856893032423</v>
      </c>
      <c r="O118" s="9">
        <v>200.06</v>
      </c>
      <c r="P118" s="9">
        <v>143.6</v>
      </c>
      <c r="Q118" s="9">
        <v>52</v>
      </c>
      <c r="R118" s="6">
        <f t="shared" si="6"/>
        <v>28</v>
      </c>
      <c r="S118" s="6">
        <v>29</v>
      </c>
      <c r="T118" s="6">
        <f t="shared" si="7"/>
        <v>112</v>
      </c>
    </row>
    <row r="119" spans="1:20">
      <c r="A119" s="3">
        <v>3208</v>
      </c>
      <c r="B119" s="6" t="s">
        <v>114</v>
      </c>
      <c r="C119" s="6">
        <v>2</v>
      </c>
      <c r="D119" s="7">
        <v>46.307692307692307</v>
      </c>
      <c r="E119" s="7">
        <v>97.5</v>
      </c>
      <c r="F119" s="9">
        <v>58.3</v>
      </c>
      <c r="G119" s="7">
        <v>82.496048451401222</v>
      </c>
      <c r="H119" s="7">
        <v>1.5899999999999999</v>
      </c>
      <c r="I119" s="9">
        <v>1</v>
      </c>
      <c r="J119" s="7">
        <v>11.16</v>
      </c>
      <c r="K119" s="11">
        <v>5.0959332618147624</v>
      </c>
      <c r="L119" s="7">
        <v>46.966945831325305</v>
      </c>
      <c r="M119" s="9">
        <v>123.5086712885338</v>
      </c>
      <c r="N119" s="7">
        <v>60.121574230487042</v>
      </c>
      <c r="O119" s="9">
        <v>39.520000000000003</v>
      </c>
      <c r="P119" s="9">
        <v>161.02000000000001</v>
      </c>
      <c r="Q119" s="9">
        <v>65</v>
      </c>
      <c r="R119" s="6">
        <f t="shared" si="6"/>
        <v>1</v>
      </c>
      <c r="S119" s="6">
        <v>41</v>
      </c>
      <c r="T119" s="6">
        <f t="shared" si="7"/>
        <v>31</v>
      </c>
    </row>
    <row r="120" spans="1:20">
      <c r="A120" s="3">
        <v>3209</v>
      </c>
      <c r="B120" s="6" t="s">
        <v>115</v>
      </c>
      <c r="C120" s="6">
        <v>2</v>
      </c>
      <c r="D120" s="7">
        <v>41.797235023041473</v>
      </c>
      <c r="E120" s="7">
        <v>97.3</v>
      </c>
      <c r="F120" s="9">
        <v>67.56</v>
      </c>
      <c r="G120" s="7">
        <v>82.432943411408488</v>
      </c>
      <c r="H120" s="7">
        <v>1.5899999999999999</v>
      </c>
      <c r="I120" s="9">
        <v>1</v>
      </c>
      <c r="J120" s="7">
        <v>10.0606394707828</v>
      </c>
      <c r="K120" s="11">
        <v>4.7553412379586728</v>
      </c>
      <c r="L120" s="7">
        <v>48.802701959731536</v>
      </c>
      <c r="M120" s="9">
        <v>121.02595910240144</v>
      </c>
      <c r="N120" s="7">
        <v>59.917618280213183</v>
      </c>
      <c r="O120" s="9">
        <v>81.349999999999994</v>
      </c>
      <c r="P120" s="9">
        <v>147.26</v>
      </c>
      <c r="Q120" s="9">
        <v>50</v>
      </c>
      <c r="R120" s="6">
        <f t="shared" si="6"/>
        <v>41</v>
      </c>
      <c r="S120" s="6">
        <v>41</v>
      </c>
      <c r="T120" s="6">
        <f t="shared" si="7"/>
        <v>31</v>
      </c>
    </row>
    <row r="121" spans="1:20">
      <c r="A121" s="3">
        <v>3210</v>
      </c>
      <c r="B121" s="6" t="s">
        <v>116</v>
      </c>
      <c r="C121" s="6">
        <v>2</v>
      </c>
      <c r="D121" s="7">
        <v>48.232189973614773</v>
      </c>
      <c r="E121" s="7">
        <v>98.7</v>
      </c>
      <c r="F121" s="9">
        <v>62.239999999999995</v>
      </c>
      <c r="G121" s="7">
        <v>81.957119564587529</v>
      </c>
      <c r="H121" s="7">
        <v>1.9100000000000001</v>
      </c>
      <c r="I121" s="9">
        <v>2</v>
      </c>
      <c r="J121" s="7">
        <v>10.999999999999998</v>
      </c>
      <c r="K121" s="11">
        <v>4.8634896955426434</v>
      </c>
      <c r="L121" s="7">
        <v>45.377096390243906</v>
      </c>
      <c r="M121" s="9">
        <v>128.99386950315684</v>
      </c>
      <c r="N121" s="7">
        <v>52.017714474919067</v>
      </c>
      <c r="O121" s="9">
        <v>173.34</v>
      </c>
      <c r="P121" s="9">
        <v>143.91999999999999</v>
      </c>
      <c r="Q121" s="9">
        <v>52</v>
      </c>
      <c r="R121" s="6">
        <f t="shared" si="6"/>
        <v>28</v>
      </c>
      <c r="S121" s="6">
        <v>29</v>
      </c>
      <c r="T121" s="6">
        <f t="shared" si="7"/>
        <v>112</v>
      </c>
    </row>
    <row r="122" spans="1:20">
      <c r="A122" s="3">
        <v>3212</v>
      </c>
      <c r="B122" s="6" t="s">
        <v>117</v>
      </c>
      <c r="C122" s="6">
        <v>2</v>
      </c>
      <c r="D122" s="7">
        <v>40.80898876404494</v>
      </c>
      <c r="E122" s="7">
        <v>98.8</v>
      </c>
      <c r="F122" s="9">
        <v>58.53</v>
      </c>
      <c r="G122" s="7">
        <v>82.933802000825679</v>
      </c>
      <c r="H122" s="7">
        <v>1.7</v>
      </c>
      <c r="I122" s="9">
        <v>2</v>
      </c>
      <c r="J122" s="7">
        <v>11.139999999999997</v>
      </c>
      <c r="K122" s="11">
        <v>4.7975292153589315</v>
      </c>
      <c r="L122" s="7">
        <v>45.693932919254664</v>
      </c>
      <c r="M122" s="9">
        <v>169.54656709347486</v>
      </c>
      <c r="N122" s="7">
        <v>57.263609119618593</v>
      </c>
      <c r="O122" s="9">
        <v>49.6</v>
      </c>
      <c r="P122" s="9">
        <v>150.43</v>
      </c>
      <c r="Q122" s="9">
        <v>59</v>
      </c>
      <c r="R122" s="6">
        <f t="shared" si="6"/>
        <v>7</v>
      </c>
      <c r="S122" s="6">
        <v>39</v>
      </c>
      <c r="T122" s="6">
        <f t="shared" si="7"/>
        <v>60</v>
      </c>
    </row>
    <row r="123" spans="1:20">
      <c r="A123" s="3">
        <v>3213</v>
      </c>
      <c r="B123" s="6" t="s">
        <v>118</v>
      </c>
      <c r="C123" s="6">
        <v>2</v>
      </c>
      <c r="D123" s="7">
        <v>40</v>
      </c>
      <c r="E123" s="7">
        <v>97</v>
      </c>
      <c r="F123" s="9">
        <v>62.25</v>
      </c>
      <c r="G123" s="7">
        <v>82.287885662821679</v>
      </c>
      <c r="H123" s="7">
        <v>1.6099999999999999</v>
      </c>
      <c r="I123" s="9">
        <v>1</v>
      </c>
      <c r="J123" s="7">
        <v>10.760000000000002</v>
      </c>
      <c r="K123" s="11">
        <v>4.9065005840634139</v>
      </c>
      <c r="L123" s="7">
        <v>45.896124487804883</v>
      </c>
      <c r="M123" s="9">
        <v>143.86996267859092</v>
      </c>
      <c r="N123" s="7">
        <v>52.062425210972521</v>
      </c>
      <c r="O123" s="9">
        <v>55.76</v>
      </c>
      <c r="P123" s="9">
        <v>147.47999999999999</v>
      </c>
      <c r="Q123" s="9">
        <v>57</v>
      </c>
      <c r="R123" s="6">
        <f t="shared" si="6"/>
        <v>13</v>
      </c>
      <c r="S123" s="6">
        <v>34</v>
      </c>
      <c r="T123" s="6">
        <f t="shared" si="7"/>
        <v>96</v>
      </c>
    </row>
    <row r="124" spans="1:20">
      <c r="A124" s="3">
        <v>3214</v>
      </c>
      <c r="B124" s="6" t="s">
        <v>119</v>
      </c>
      <c r="C124" s="6">
        <v>2</v>
      </c>
      <c r="D124" s="7">
        <v>45.75063613231552</v>
      </c>
      <c r="E124" s="7">
        <v>98.8</v>
      </c>
      <c r="F124" s="9">
        <v>58.769999999999996</v>
      </c>
      <c r="G124" s="7">
        <v>82.585147753240861</v>
      </c>
      <c r="H124" s="7">
        <v>1.74</v>
      </c>
      <c r="I124" s="9">
        <v>2</v>
      </c>
      <c r="J124" s="7">
        <v>11.749165739710788</v>
      </c>
      <c r="K124" s="11">
        <v>5.0891077075718014</v>
      </c>
      <c r="L124" s="7">
        <v>44.298369363636361</v>
      </c>
      <c r="M124" s="9">
        <v>166.55217101555473</v>
      </c>
      <c r="N124" s="7">
        <v>55.43323895347352</v>
      </c>
      <c r="O124" s="9">
        <v>38.21</v>
      </c>
      <c r="P124" s="9">
        <v>147.19999999999999</v>
      </c>
      <c r="Q124" s="9">
        <v>64</v>
      </c>
      <c r="R124" s="6">
        <f t="shared" si="6"/>
        <v>2</v>
      </c>
      <c r="S124" s="6">
        <v>34</v>
      </c>
      <c r="T124" s="6">
        <f t="shared" si="7"/>
        <v>96</v>
      </c>
    </row>
    <row r="125" spans="1:20">
      <c r="A125" s="3">
        <v>3215</v>
      </c>
      <c r="B125" s="6" t="s">
        <v>120</v>
      </c>
      <c r="C125" s="6">
        <v>2</v>
      </c>
      <c r="D125" s="7">
        <v>42.411347517730498</v>
      </c>
      <c r="E125" s="7">
        <v>98.5</v>
      </c>
      <c r="F125" s="9">
        <v>59.849999999999994</v>
      </c>
      <c r="G125" s="7">
        <v>82.228236548595049</v>
      </c>
      <c r="H125" s="7">
        <v>1.54</v>
      </c>
      <c r="I125" s="9">
        <v>1</v>
      </c>
      <c r="J125" s="7">
        <v>11.636008918617614</v>
      </c>
      <c r="K125" s="11">
        <v>4.9054773305526602</v>
      </c>
      <c r="L125" s="7">
        <v>45.071643209580849</v>
      </c>
      <c r="M125" s="9">
        <v>138.2130585838033</v>
      </c>
      <c r="N125" s="7">
        <v>61.624781442492171</v>
      </c>
      <c r="O125" s="9">
        <v>175.81</v>
      </c>
      <c r="P125" s="9">
        <v>148.80000000000001</v>
      </c>
      <c r="Q125" s="9">
        <v>58</v>
      </c>
      <c r="R125" s="6">
        <f t="shared" si="6"/>
        <v>9</v>
      </c>
      <c r="S125" s="6">
        <v>25</v>
      </c>
      <c r="T125" s="6">
        <f t="shared" si="7"/>
        <v>118</v>
      </c>
    </row>
    <row r="126" spans="1:20">
      <c r="D126" s="7"/>
      <c r="E126" s="7"/>
      <c r="F126" s="9"/>
      <c r="G126" s="7"/>
      <c r="H126" s="7"/>
      <c r="I126" s="9"/>
      <c r="J126" s="7"/>
      <c r="K126" s="11"/>
      <c r="L126" s="7"/>
      <c r="M126" s="9"/>
      <c r="N126" s="7"/>
      <c r="O126" s="9"/>
      <c r="P126" s="9"/>
      <c r="Q126" s="9"/>
    </row>
    <row r="127" spans="1:20">
      <c r="A127" s="3">
        <v>3118</v>
      </c>
      <c r="B127" s="6" t="s">
        <v>26</v>
      </c>
      <c r="C127" s="6">
        <v>2</v>
      </c>
      <c r="D127" s="7">
        <v>40.677200902934537</v>
      </c>
      <c r="E127" s="7">
        <v>97.7</v>
      </c>
      <c r="F127" s="9">
        <v>88.81</v>
      </c>
      <c r="G127" s="7">
        <v>84.730260184016018</v>
      </c>
      <c r="H127" s="7">
        <v>1.75</v>
      </c>
      <c r="I127" s="9">
        <v>1</v>
      </c>
      <c r="J127" s="7">
        <v>11.445615982241954</v>
      </c>
      <c r="K127" s="11">
        <v>5.8528218929354061</v>
      </c>
      <c r="L127" s="7">
        <v>52.174504372093018</v>
      </c>
      <c r="M127" s="9">
        <v>127.67857488324466</v>
      </c>
      <c r="N127" s="7">
        <v>97.936245811072297</v>
      </c>
      <c r="O127" s="9">
        <v>164.72</v>
      </c>
      <c r="P127" s="9">
        <v>227.91</v>
      </c>
      <c r="Q127" s="9">
        <v>53</v>
      </c>
      <c r="S127" s="6">
        <v>28</v>
      </c>
    </row>
    <row r="128" spans="1:20">
      <c r="A128" s="3">
        <v>3149</v>
      </c>
      <c r="B128" s="6" t="s">
        <v>26</v>
      </c>
      <c r="C128" s="6">
        <v>2</v>
      </c>
      <c r="D128" s="7">
        <v>40</v>
      </c>
      <c r="E128" s="7">
        <v>97.8</v>
      </c>
      <c r="F128" s="9">
        <v>87.24</v>
      </c>
      <c r="G128" s="7">
        <v>85.327618176416166</v>
      </c>
      <c r="H128" s="7">
        <v>1.97</v>
      </c>
      <c r="I128" s="9">
        <v>1</v>
      </c>
      <c r="J128" s="7">
        <v>12.333702882483371</v>
      </c>
      <c r="K128" s="11">
        <v>5.9624476755070202</v>
      </c>
      <c r="L128" s="7">
        <v>51.822765559322036</v>
      </c>
      <c r="M128" s="9">
        <v>114.20602471839632</v>
      </c>
      <c r="N128" s="7">
        <v>102.04849094267126</v>
      </c>
      <c r="O128" s="9">
        <v>252.51</v>
      </c>
      <c r="P128" s="9">
        <v>230.96</v>
      </c>
      <c r="Q128" s="9">
        <v>48</v>
      </c>
      <c r="S128" s="6">
        <v>28</v>
      </c>
    </row>
    <row r="129" spans="1:19">
      <c r="A129" s="3">
        <v>3180</v>
      </c>
      <c r="B129" s="6" t="s">
        <v>26</v>
      </c>
      <c r="C129" s="6">
        <v>2</v>
      </c>
      <c r="D129" s="7">
        <v>40.630630630630634</v>
      </c>
      <c r="E129" s="7">
        <v>97.8</v>
      </c>
      <c r="F129" s="9">
        <v>88.05</v>
      </c>
      <c r="G129" s="7">
        <v>84.936780240934823</v>
      </c>
      <c r="H129" s="7">
        <v>1.78</v>
      </c>
      <c r="I129" s="9">
        <v>1</v>
      </c>
      <c r="J129" s="7">
        <v>13.000000000000002</v>
      </c>
      <c r="K129" s="11">
        <v>5.6981505887552117</v>
      </c>
      <c r="L129" s="7">
        <v>45.962314189473688</v>
      </c>
      <c r="M129" s="9">
        <v>122.8835733684827</v>
      </c>
      <c r="N129" s="7">
        <v>92.083750988697162</v>
      </c>
      <c r="O129" s="9">
        <v>177.99</v>
      </c>
      <c r="P129" s="9">
        <v>222.81</v>
      </c>
      <c r="Q129" s="9">
        <v>53</v>
      </c>
      <c r="S129" s="6">
        <v>23</v>
      </c>
    </row>
    <row r="130" spans="1:19">
      <c r="A130" s="2">
        <v>3211</v>
      </c>
      <c r="B130" s="5" t="s">
        <v>26</v>
      </c>
      <c r="C130" s="5">
        <v>2</v>
      </c>
      <c r="D130" s="8">
        <v>41.09339407744875</v>
      </c>
      <c r="E130" s="8">
        <v>97.6</v>
      </c>
      <c r="F130" s="10">
        <v>87.26</v>
      </c>
      <c r="G130" s="8">
        <v>84.802007375678883</v>
      </c>
      <c r="H130" s="8">
        <v>2.0299999999999998</v>
      </c>
      <c r="I130" s="10">
        <v>1</v>
      </c>
      <c r="J130" s="8">
        <v>12.541574279379157</v>
      </c>
      <c r="K130" s="12">
        <v>5.8516006468440267</v>
      </c>
      <c r="L130" s="8">
        <v>49.580191999999997</v>
      </c>
      <c r="M130" s="10">
        <v>122.30910170234478</v>
      </c>
      <c r="N130" s="8">
        <v>105.22663564118483</v>
      </c>
      <c r="O130" s="10">
        <v>137.76</v>
      </c>
      <c r="P130" s="10">
        <v>217.53</v>
      </c>
      <c r="Q130" s="10">
        <v>56</v>
      </c>
      <c r="S130" s="6">
        <v>26</v>
      </c>
    </row>
    <row r="131" spans="1:19">
      <c r="D131" s="7"/>
      <c r="E131" s="7"/>
      <c r="F131" s="9"/>
      <c r="G131" s="7"/>
      <c r="H131" s="7"/>
      <c r="I131" s="9"/>
      <c r="J131" s="7"/>
      <c r="K131" s="11"/>
      <c r="L131" s="7"/>
      <c r="M131" s="9"/>
      <c r="N131" s="7"/>
      <c r="O131" s="9"/>
      <c r="P131" s="9"/>
      <c r="Q131" s="9"/>
    </row>
    <row r="132" spans="1:19">
      <c r="A132" s="4" t="s">
        <v>152</v>
      </c>
      <c r="D132" s="7">
        <f>MIN(D6:D125)</f>
        <v>36.016260162601625</v>
      </c>
      <c r="E132" s="7">
        <f>MIN(E6:E125)</f>
        <v>95.1</v>
      </c>
      <c r="F132" s="9">
        <f>MIN(F6:F125)</f>
        <v>52.09</v>
      </c>
      <c r="G132" s="7">
        <f>MIN(G6:G125)</f>
        <v>80.82322498516001</v>
      </c>
      <c r="H132" s="7">
        <f>MIN(H6:H125)</f>
        <v>1.24</v>
      </c>
      <c r="I132" s="9"/>
      <c r="J132" s="7">
        <f t="shared" ref="J132:P132" si="8">MIN(J6:J125)</f>
        <v>8.8882618510158018</v>
      </c>
      <c r="K132" s="11">
        <f t="shared" si="8"/>
        <v>4.0761590388695845</v>
      </c>
      <c r="L132" s="7">
        <f t="shared" si="8"/>
        <v>40.878852878048782</v>
      </c>
      <c r="M132" s="9">
        <f t="shared" si="8"/>
        <v>84.843052876847395</v>
      </c>
      <c r="N132" s="7">
        <f t="shared" si="8"/>
        <v>30.897871562289286</v>
      </c>
      <c r="O132" s="9">
        <f t="shared" si="8"/>
        <v>23.45</v>
      </c>
      <c r="P132" s="9">
        <f t="shared" si="8"/>
        <v>114.16</v>
      </c>
      <c r="Q132" s="9"/>
    </row>
    <row r="133" spans="1:19">
      <c r="A133" s="4" t="s">
        <v>153</v>
      </c>
      <c r="D133" s="7">
        <f>MAX(D6:D125)</f>
        <v>51.129943502824858</v>
      </c>
      <c r="E133" s="7">
        <f>MAX(E6:E125)</f>
        <v>99.3</v>
      </c>
      <c r="F133" s="9">
        <f>MAX(F6:F125)</f>
        <v>70.25</v>
      </c>
      <c r="G133" s="7">
        <f>MAX(G6:G125)</f>
        <v>83.472260371553148</v>
      </c>
      <c r="H133" s="7">
        <f>MAX(H6:H125)</f>
        <v>2.34</v>
      </c>
      <c r="I133" s="9"/>
      <c r="J133" s="7">
        <f t="shared" ref="J133:P133" si="9">MAX(J6:J125)</f>
        <v>12.123745819397993</v>
      </c>
      <c r="K133" s="11">
        <f t="shared" si="9"/>
        <v>5.457380468994268</v>
      </c>
      <c r="L133" s="7">
        <f t="shared" si="9"/>
        <v>57.91872788571429</v>
      </c>
      <c r="M133" s="9">
        <f t="shared" si="9"/>
        <v>169.54656709347486</v>
      </c>
      <c r="N133" s="7">
        <f t="shared" si="9"/>
        <v>63.047240569627988</v>
      </c>
      <c r="O133" s="9">
        <f t="shared" si="9"/>
        <v>300.07</v>
      </c>
      <c r="P133" s="9">
        <f t="shared" si="9"/>
        <v>200.54</v>
      </c>
      <c r="Q133" s="9"/>
    </row>
    <row r="134" spans="1:19">
      <c r="A134" s="4" t="s">
        <v>154</v>
      </c>
      <c r="D134" s="7">
        <f>AVERAGE(D6:D125)</f>
        <v>43.93024742316765</v>
      </c>
      <c r="E134" s="7">
        <f>AVERAGE(E6:E125)</f>
        <v>97.741525423728831</v>
      </c>
      <c r="F134" s="9">
        <f>AVERAGE(F6:F125)</f>
        <v>59.996333333333361</v>
      </c>
      <c r="G134" s="7">
        <f>AVERAGE(G6:G125)</f>
        <v>82.352485667798589</v>
      </c>
      <c r="H134" s="7">
        <f>AVERAGE(H6:H125)</f>
        <v>1.7244859813084112</v>
      </c>
      <c r="I134" s="9"/>
      <c r="J134" s="7">
        <f t="shared" ref="J134:P134" si="10">AVERAGE(J6:J125)</f>
        <v>10.238636441245006</v>
      </c>
      <c r="K134" s="11">
        <f t="shared" si="10"/>
        <v>4.7928253695624043</v>
      </c>
      <c r="L134" s="7">
        <f t="shared" si="10"/>
        <v>49.4526888975482</v>
      </c>
      <c r="M134" s="9">
        <f t="shared" si="10"/>
        <v>130.75619849379828</v>
      </c>
      <c r="N134" s="7">
        <f t="shared" si="10"/>
        <v>49.160404541860224</v>
      </c>
      <c r="O134" s="9">
        <f t="shared" si="10"/>
        <v>119.38486956521737</v>
      </c>
      <c r="P134" s="9">
        <f t="shared" si="10"/>
        <v>153.30366666666663</v>
      </c>
      <c r="Q134" s="9"/>
    </row>
    <row r="135" spans="1:19">
      <c r="A135" s="4" t="s">
        <v>155</v>
      </c>
      <c r="D135" s="7">
        <f>STDEV(D6:D125)</f>
        <v>2.8196378988207336</v>
      </c>
      <c r="E135" s="7">
        <f>STDEV(E6:E125)</f>
        <v>0.92683878416191734</v>
      </c>
      <c r="F135" s="9">
        <f>STDEV(F6:F125)</f>
        <v>3.7607595633059558</v>
      </c>
      <c r="G135" s="7">
        <f>STDEV(G6:G125)</f>
        <v>0.60515675260164026</v>
      </c>
      <c r="H135" s="7">
        <f>STDEV(H6:H125)</f>
        <v>0.19006569690832001</v>
      </c>
      <c r="I135" s="9"/>
      <c r="J135" s="7">
        <f t="shared" ref="J135:P135" si="11">STDEV(J6:J125)</f>
        <v>0.63582931823158428</v>
      </c>
      <c r="K135" s="11">
        <f t="shared" si="11"/>
        <v>0.25745813250380523</v>
      </c>
      <c r="L135" s="7">
        <f t="shared" si="11"/>
        <v>3.1978103842072798</v>
      </c>
      <c r="M135" s="9">
        <f t="shared" si="11"/>
        <v>15.559540880057472</v>
      </c>
      <c r="N135" s="7">
        <f t="shared" si="11"/>
        <v>6.2923583045449138</v>
      </c>
      <c r="O135" s="9">
        <f t="shared" si="11"/>
        <v>67.338623381283597</v>
      </c>
      <c r="P135" s="9">
        <f t="shared" si="11"/>
        <v>16.683034150279493</v>
      </c>
      <c r="Q135" s="9"/>
    </row>
    <row r="136" spans="1:19">
      <c r="A136" s="4" t="s">
        <v>156</v>
      </c>
      <c r="D136" s="7">
        <f>100*D135/D134</f>
        <v>6.4184430186790413</v>
      </c>
      <c r="E136" s="7">
        <f t="shared" ref="E136:H136" si="12">100*E135/E134</f>
        <v>0.94825487953445375</v>
      </c>
      <c r="F136" s="9">
        <f t="shared" si="12"/>
        <v>6.2683156692452666</v>
      </c>
      <c r="G136" s="7">
        <f t="shared" si="12"/>
        <v>0.73483726410248262</v>
      </c>
      <c r="H136" s="7">
        <f t="shared" si="12"/>
        <v>11.021585502487666</v>
      </c>
      <c r="I136" s="9"/>
      <c r="J136" s="7">
        <f t="shared" ref="J136:P136" si="13">100*J135/J134</f>
        <v>6.2100976226700375</v>
      </c>
      <c r="K136" s="11">
        <f t="shared" si="13"/>
        <v>5.3717403129025696</v>
      </c>
      <c r="L136" s="7">
        <f t="shared" si="13"/>
        <v>6.4664034565081527</v>
      </c>
      <c r="M136" s="9">
        <f t="shared" si="13"/>
        <v>11.899658340706086</v>
      </c>
      <c r="N136" s="7">
        <f t="shared" si="13"/>
        <v>12.799647120859133</v>
      </c>
      <c r="O136" s="9">
        <f t="shared" si="13"/>
        <v>56.404654648885774</v>
      </c>
      <c r="P136" s="9">
        <f t="shared" si="13"/>
        <v>10.882345160441584</v>
      </c>
      <c r="Q136" s="9"/>
    </row>
    <row r="137" spans="1:19">
      <c r="D137" s="7"/>
      <c r="E137" s="7"/>
      <c r="F137" s="9"/>
      <c r="G137" s="7"/>
      <c r="H137" s="7"/>
      <c r="I137" s="9"/>
      <c r="J137" s="7"/>
      <c r="K137" s="11"/>
      <c r="L137" s="7"/>
      <c r="M137" s="9"/>
      <c r="N137" s="7"/>
      <c r="O137" s="9"/>
      <c r="P137" s="9"/>
      <c r="Q137" s="9"/>
    </row>
    <row r="138" spans="1:19">
      <c r="A138" s="4" t="s">
        <v>159</v>
      </c>
      <c r="D138" s="7"/>
      <c r="E138" s="7"/>
      <c r="F138" s="9"/>
      <c r="G138" s="7"/>
      <c r="H138" s="7"/>
      <c r="I138" s="9"/>
      <c r="J138" s="7"/>
      <c r="K138" s="11"/>
      <c r="L138" s="7"/>
      <c r="M138" s="9"/>
      <c r="N138" s="7"/>
      <c r="O138" s="9"/>
      <c r="P138" s="9"/>
      <c r="Q138" s="9"/>
    </row>
    <row r="139" spans="1:19">
      <c r="A139" s="4" t="s">
        <v>160</v>
      </c>
      <c r="D139" s="7"/>
      <c r="E139" s="7"/>
      <c r="F139" s="9"/>
      <c r="G139" s="7"/>
      <c r="H139" s="7"/>
      <c r="I139" s="9"/>
      <c r="J139" s="7"/>
      <c r="K139" s="11"/>
      <c r="L139" s="7"/>
      <c r="M139" s="9"/>
      <c r="N139" s="7"/>
      <c r="O139" s="9"/>
      <c r="P139" s="9"/>
      <c r="Q139" s="9"/>
    </row>
    <row r="140" spans="1:19">
      <c r="A140" s="4" t="s">
        <v>161</v>
      </c>
      <c r="D140" s="7"/>
      <c r="E140" s="7"/>
      <c r="F140" s="9"/>
      <c r="G140" s="7"/>
      <c r="H140" s="7"/>
      <c r="I140" s="9"/>
      <c r="J140" s="7"/>
      <c r="K140" s="11"/>
      <c r="L140" s="7"/>
      <c r="M140" s="9"/>
      <c r="N140" s="7"/>
      <c r="O140" s="9"/>
      <c r="P140" s="9"/>
      <c r="Q140" s="9"/>
    </row>
    <row r="141" spans="1:19">
      <c r="D141" s="7"/>
      <c r="E141" s="7"/>
      <c r="F141" s="9"/>
      <c r="G141" s="7"/>
      <c r="H141" s="7"/>
      <c r="I141" s="9"/>
      <c r="J141" s="7"/>
      <c r="K141" s="11"/>
      <c r="L141" s="7"/>
      <c r="M141" s="9"/>
      <c r="N141" s="7"/>
      <c r="O141" s="9"/>
      <c r="P141" s="9"/>
      <c r="Q141" s="9"/>
    </row>
    <row r="142" spans="1:19">
      <c r="A142" s="4" t="s">
        <v>167</v>
      </c>
      <c r="D142" s="7"/>
      <c r="E142" s="7"/>
      <c r="F142" s="9"/>
      <c r="G142" s="7"/>
      <c r="H142" s="7"/>
      <c r="I142" s="9"/>
      <c r="J142" s="7"/>
      <c r="K142" s="11"/>
      <c r="L142" s="7"/>
      <c r="M142" s="9"/>
      <c r="N142" s="7"/>
      <c r="O142" s="9"/>
      <c r="P142" s="9"/>
      <c r="Q142" s="9"/>
    </row>
    <row r="143" spans="1:19">
      <c r="D143" s="7"/>
      <c r="E143" s="7"/>
      <c r="F143" s="9"/>
      <c r="G143" s="7"/>
      <c r="H143" s="7"/>
      <c r="I143" s="9"/>
      <c r="J143" s="7"/>
      <c r="K143" s="11"/>
      <c r="L143" s="7"/>
      <c r="M143" s="9"/>
      <c r="N143" s="7"/>
      <c r="O143" s="9"/>
      <c r="P143" s="9"/>
      <c r="Q143" s="9"/>
    </row>
    <row r="144" spans="1:19">
      <c r="A144" s="4" t="s">
        <v>157</v>
      </c>
      <c r="D144" s="7">
        <f>D134-3*D135</f>
        <v>35.471333726705453</v>
      </c>
      <c r="E144" s="7">
        <f t="shared" ref="E144:H144" si="14">E134-3*E135</f>
        <v>94.961009071243083</v>
      </c>
      <c r="F144" s="9">
        <f t="shared" si="14"/>
        <v>48.714054643415494</v>
      </c>
      <c r="G144" s="7">
        <f t="shared" si="14"/>
        <v>80.537015409993671</v>
      </c>
      <c r="H144" s="7">
        <f t="shared" si="14"/>
        <v>1.1542888905834512</v>
      </c>
      <c r="I144" s="9"/>
      <c r="J144" s="7">
        <f t="shared" ref="J144:P144" si="15">J134-3*J135</f>
        <v>8.3311484865502532</v>
      </c>
      <c r="K144" s="11">
        <f t="shared" si="15"/>
        <v>4.0204509720509884</v>
      </c>
      <c r="L144" s="7">
        <f t="shared" si="15"/>
        <v>39.85925774492636</v>
      </c>
      <c r="M144" s="9">
        <f t="shared" si="15"/>
        <v>84.077575853625859</v>
      </c>
      <c r="N144" s="7">
        <f t="shared" si="15"/>
        <v>30.283329628225481</v>
      </c>
      <c r="O144" s="9">
        <f t="shared" si="15"/>
        <v>-82.631000578633433</v>
      </c>
      <c r="P144" s="9">
        <f t="shared" si="15"/>
        <v>103.25456421582815</v>
      </c>
      <c r="Q144" s="9"/>
    </row>
    <row r="145" spans="1:17">
      <c r="A145" s="4" t="s">
        <v>158</v>
      </c>
      <c r="D145" s="7">
        <f>D134+3*D135</f>
        <v>52.389161119629847</v>
      </c>
      <c r="E145" s="7">
        <f t="shared" ref="E145:H145" si="16">E134+3*E135</f>
        <v>100.52204177621458</v>
      </c>
      <c r="F145" s="9">
        <f t="shared" si="16"/>
        <v>71.278612023251227</v>
      </c>
      <c r="G145" s="7">
        <f t="shared" si="16"/>
        <v>84.167955925603508</v>
      </c>
      <c r="H145" s="7">
        <f t="shared" si="16"/>
        <v>2.2946830720333713</v>
      </c>
      <c r="I145" s="9"/>
      <c r="J145" s="7">
        <f t="shared" ref="J145:P145" si="17">J134+3*J135</f>
        <v>12.14612439593976</v>
      </c>
      <c r="K145" s="11">
        <f t="shared" si="17"/>
        <v>5.5651997670738202</v>
      </c>
      <c r="L145" s="7">
        <f t="shared" si="17"/>
        <v>59.046120050170039</v>
      </c>
      <c r="M145" s="9">
        <f t="shared" si="17"/>
        <v>177.4348211339707</v>
      </c>
      <c r="N145" s="7">
        <f t="shared" si="17"/>
        <v>68.037479455494974</v>
      </c>
      <c r="O145" s="9">
        <f t="shared" si="17"/>
        <v>321.40073970906815</v>
      </c>
      <c r="P145" s="9">
        <f t="shared" si="17"/>
        <v>203.35276911750509</v>
      </c>
      <c r="Q145" s="9"/>
    </row>
    <row r="146" spans="1:17">
      <c r="D146" s="7"/>
      <c r="E146" s="7"/>
      <c r="F146" s="9"/>
      <c r="G146" s="7"/>
      <c r="H146" s="7"/>
      <c r="I146" s="9"/>
      <c r="J146" s="7"/>
      <c r="K146" s="11"/>
      <c r="L146" s="7"/>
      <c r="M146" s="9"/>
      <c r="N146" s="7"/>
      <c r="O146" s="9"/>
      <c r="P146" s="9"/>
      <c r="Q146" s="9"/>
    </row>
    <row r="147" spans="1:17">
      <c r="D147" s="7"/>
      <c r="E147" s="7"/>
      <c r="F147" s="9"/>
      <c r="G147" s="7"/>
      <c r="H147" s="7"/>
      <c r="I147" s="9"/>
      <c r="J147" s="7"/>
      <c r="K147" s="11"/>
      <c r="L147" s="7"/>
      <c r="M147" s="9"/>
      <c r="N147" s="7"/>
      <c r="O147" s="9"/>
      <c r="P147" s="9"/>
      <c r="Q147" s="9"/>
    </row>
    <row r="148" spans="1:17">
      <c r="D148" s="7"/>
      <c r="E148" s="7"/>
      <c r="F148" s="9"/>
      <c r="G148" s="7"/>
      <c r="H148" s="7"/>
      <c r="I148" s="9"/>
      <c r="J148" s="7"/>
      <c r="K148" s="11"/>
      <c r="L148" s="7"/>
      <c r="M148" s="9"/>
      <c r="N148" s="7"/>
      <c r="O148" s="9"/>
      <c r="P148" s="9"/>
      <c r="Q148" s="9"/>
    </row>
    <row r="149" spans="1:17">
      <c r="D149" s="7"/>
      <c r="E149" s="7"/>
      <c r="F149" s="9"/>
      <c r="G149" s="7"/>
      <c r="H149" s="7"/>
      <c r="I149" s="9"/>
      <c r="J149" s="7"/>
      <c r="K149" s="11"/>
      <c r="L149" s="7"/>
      <c r="M149" s="9"/>
      <c r="N149" s="7"/>
      <c r="O149" s="9"/>
      <c r="P149" s="9"/>
      <c r="Q149" s="9"/>
    </row>
    <row r="150" spans="1:17">
      <c r="D150" s="7"/>
      <c r="E150" s="7"/>
      <c r="F150" s="9"/>
      <c r="G150" s="7"/>
      <c r="H150" s="7"/>
      <c r="I150" s="9"/>
      <c r="J150" s="7"/>
      <c r="K150" s="11"/>
      <c r="L150" s="7"/>
      <c r="M150" s="9"/>
      <c r="N150" s="7"/>
      <c r="O150" s="9"/>
      <c r="P150" s="9"/>
      <c r="Q150" s="9"/>
    </row>
    <row r="151" spans="1:17">
      <c r="D151" s="7"/>
      <c r="E151" s="7"/>
      <c r="F151" s="9"/>
      <c r="G151" s="7"/>
      <c r="H151" s="7"/>
      <c r="I151" s="9"/>
      <c r="J151" s="7"/>
      <c r="K151" s="11"/>
      <c r="L151" s="7"/>
      <c r="M151" s="9"/>
      <c r="N151" s="7"/>
      <c r="O151" s="9"/>
      <c r="P151" s="9"/>
      <c r="Q151" s="9"/>
    </row>
    <row r="152" spans="1:17">
      <c r="D152" s="7"/>
      <c r="E152" s="7"/>
      <c r="F152" s="9"/>
      <c r="G152" s="7"/>
      <c r="H152" s="7"/>
      <c r="I152" s="9"/>
      <c r="J152" s="7"/>
      <c r="K152" s="11"/>
      <c r="L152" s="7"/>
      <c r="M152" s="9"/>
      <c r="N152" s="7"/>
      <c r="O152" s="9"/>
      <c r="P152" s="9"/>
      <c r="Q152" s="9"/>
    </row>
    <row r="153" spans="1:17">
      <c r="D153" s="7"/>
      <c r="E153" s="7"/>
      <c r="F153" s="9"/>
      <c r="G153" s="7"/>
      <c r="H153" s="7"/>
      <c r="I153" s="9"/>
      <c r="J153" s="7"/>
      <c r="K153" s="11"/>
      <c r="L153" s="7"/>
      <c r="M153" s="9"/>
      <c r="N153" s="7"/>
      <c r="O153" s="9"/>
      <c r="P153" s="9"/>
      <c r="Q153" s="9"/>
    </row>
    <row r="154" spans="1:17">
      <c r="D154" s="7"/>
      <c r="E154" s="7"/>
      <c r="F154" s="9"/>
      <c r="G154" s="7"/>
      <c r="H154" s="7"/>
      <c r="I154" s="9"/>
      <c r="J154" s="7"/>
      <c r="K154" s="11"/>
      <c r="L154" s="7"/>
      <c r="M154" s="9"/>
      <c r="N154" s="7"/>
      <c r="O154" s="9"/>
      <c r="P154" s="9"/>
      <c r="Q154" s="9"/>
    </row>
    <row r="155" spans="1:17">
      <c r="D155" s="7"/>
      <c r="E155" s="7"/>
      <c r="F155" s="9"/>
      <c r="G155" s="7"/>
      <c r="H155" s="7"/>
      <c r="I155" s="9"/>
      <c r="J155" s="7"/>
      <c r="K155" s="11"/>
      <c r="L155" s="7"/>
      <c r="M155" s="9"/>
      <c r="N155" s="7"/>
      <c r="O155" s="9"/>
      <c r="P155" s="9"/>
      <c r="Q155" s="9"/>
    </row>
    <row r="156" spans="1:17">
      <c r="D156" s="7"/>
      <c r="E156" s="7"/>
      <c r="F156" s="9"/>
      <c r="G156" s="7"/>
      <c r="H156" s="7"/>
      <c r="I156" s="9"/>
      <c r="J156" s="7"/>
      <c r="K156" s="11"/>
      <c r="L156" s="7"/>
      <c r="M156" s="9"/>
      <c r="N156" s="7"/>
      <c r="O156" s="9"/>
      <c r="P156" s="9"/>
      <c r="Q156" s="9"/>
    </row>
    <row r="157" spans="1:17">
      <c r="D157" s="7"/>
      <c r="E157" s="7"/>
      <c r="F157" s="9"/>
      <c r="G157" s="7"/>
      <c r="H157" s="7"/>
      <c r="I157" s="9"/>
      <c r="J157" s="7"/>
      <c r="K157" s="11"/>
      <c r="L157" s="7"/>
      <c r="M157" s="9"/>
      <c r="N157" s="7"/>
      <c r="O157" s="9"/>
      <c r="P157" s="9"/>
      <c r="Q157" s="9"/>
    </row>
    <row r="158" spans="1:17">
      <c r="D158" s="7"/>
      <c r="E158" s="7"/>
      <c r="F158" s="9"/>
      <c r="G158" s="7"/>
      <c r="H158" s="7"/>
      <c r="I158" s="9"/>
      <c r="J158" s="7"/>
      <c r="K158" s="11"/>
      <c r="L158" s="7"/>
      <c r="M158" s="9"/>
      <c r="N158" s="7"/>
      <c r="O158" s="9"/>
      <c r="P158" s="9"/>
      <c r="Q158" s="9"/>
    </row>
    <row r="159" spans="1:17">
      <c r="D159" s="7"/>
      <c r="E159" s="7"/>
      <c r="F159" s="9"/>
      <c r="G159" s="7"/>
      <c r="H159" s="7"/>
      <c r="I159" s="9"/>
      <c r="J159" s="7"/>
      <c r="K159" s="11"/>
      <c r="L159" s="7"/>
      <c r="M159" s="9"/>
      <c r="N159" s="7"/>
      <c r="O159" s="9"/>
      <c r="P159" s="9"/>
      <c r="Q159" s="9"/>
    </row>
    <row r="160" spans="1:17">
      <c r="D160" s="7"/>
      <c r="E160" s="7"/>
      <c r="F160" s="9"/>
      <c r="G160" s="7"/>
      <c r="H160" s="7"/>
      <c r="I160" s="9"/>
      <c r="J160" s="7"/>
      <c r="K160" s="11"/>
      <c r="L160" s="7"/>
      <c r="M160" s="9"/>
      <c r="N160" s="7"/>
      <c r="O160" s="9"/>
      <c r="P160" s="9"/>
      <c r="Q160" s="9"/>
    </row>
    <row r="161" spans="4:17">
      <c r="D161" s="7"/>
      <c r="E161" s="7"/>
      <c r="F161" s="9"/>
      <c r="G161" s="7"/>
      <c r="H161" s="7"/>
      <c r="I161" s="9"/>
      <c r="J161" s="7"/>
      <c r="K161" s="11"/>
      <c r="L161" s="7"/>
      <c r="M161" s="9"/>
      <c r="N161" s="7"/>
      <c r="O161" s="9"/>
      <c r="P161" s="9"/>
      <c r="Q161" s="9"/>
    </row>
    <row r="162" spans="4:17">
      <c r="D162" s="7"/>
      <c r="E162" s="7"/>
      <c r="F162" s="9"/>
      <c r="G162" s="7"/>
      <c r="H162" s="7"/>
      <c r="I162" s="9"/>
      <c r="J162" s="7"/>
      <c r="K162" s="11"/>
      <c r="L162" s="7"/>
      <c r="M162" s="9"/>
      <c r="N162" s="7"/>
      <c r="O162" s="9"/>
      <c r="P162" s="9"/>
      <c r="Q162" s="9"/>
    </row>
    <row r="163" spans="4:17">
      <c r="D163" s="7"/>
      <c r="E163" s="7"/>
      <c r="F163" s="9"/>
      <c r="G163" s="7"/>
      <c r="H163" s="7"/>
      <c r="I163" s="9"/>
      <c r="J163" s="7"/>
      <c r="K163" s="11"/>
      <c r="L163" s="7"/>
      <c r="M163" s="9"/>
      <c r="N163" s="7"/>
      <c r="O163" s="9"/>
      <c r="P163" s="9"/>
      <c r="Q163" s="9"/>
    </row>
    <row r="164" spans="4:17">
      <c r="D164" s="7"/>
      <c r="E164" s="7"/>
      <c r="F164" s="9"/>
      <c r="G164" s="7"/>
      <c r="H164" s="7"/>
      <c r="I164" s="9"/>
      <c r="J164" s="7"/>
      <c r="K164" s="11"/>
      <c r="L164" s="7"/>
      <c r="M164" s="9"/>
      <c r="N164" s="7"/>
      <c r="O164" s="9"/>
      <c r="P164" s="9"/>
      <c r="Q164" s="9"/>
    </row>
    <row r="165" spans="4:17">
      <c r="D165" s="7"/>
      <c r="E165" s="7"/>
      <c r="F165" s="9"/>
      <c r="G165" s="7"/>
      <c r="H165" s="7"/>
      <c r="I165" s="9"/>
      <c r="J165" s="7"/>
      <c r="K165" s="11"/>
      <c r="L165" s="7"/>
      <c r="M165" s="9"/>
      <c r="N165" s="7"/>
      <c r="O165" s="9"/>
      <c r="P165" s="9"/>
      <c r="Q165" s="9"/>
    </row>
    <row r="166" spans="4:17">
      <c r="D166" s="7"/>
      <c r="E166" s="7"/>
      <c r="F166" s="9"/>
      <c r="G166" s="7"/>
      <c r="H166" s="7"/>
      <c r="I166" s="9"/>
      <c r="J166" s="7"/>
      <c r="K166" s="11"/>
      <c r="L166" s="7"/>
      <c r="M166" s="9"/>
      <c r="N166" s="7"/>
      <c r="O166" s="9"/>
      <c r="P166" s="9"/>
      <c r="Q166" s="9"/>
    </row>
    <row r="167" spans="4:17">
      <c r="D167" s="7"/>
      <c r="E167" s="7"/>
      <c r="F167" s="9"/>
      <c r="G167" s="7"/>
      <c r="H167" s="7"/>
      <c r="I167" s="9"/>
      <c r="J167" s="7"/>
      <c r="K167" s="11"/>
      <c r="L167" s="7"/>
      <c r="M167" s="9"/>
      <c r="N167" s="7"/>
      <c r="O167" s="9"/>
      <c r="P167" s="9"/>
      <c r="Q167" s="9"/>
    </row>
    <row r="168" spans="4:17">
      <c r="D168" s="7"/>
      <c r="E168" s="7"/>
      <c r="F168" s="9"/>
      <c r="G168" s="7"/>
      <c r="H168" s="7"/>
      <c r="I168" s="9"/>
      <c r="J168" s="7"/>
      <c r="K168" s="11"/>
      <c r="L168" s="7"/>
      <c r="M168" s="9"/>
      <c r="N168" s="7"/>
      <c r="O168" s="9"/>
      <c r="P168" s="9"/>
      <c r="Q168" s="9"/>
    </row>
    <row r="169" spans="4:17">
      <c r="D169" s="7"/>
      <c r="E169" s="7"/>
      <c r="F169" s="9"/>
      <c r="G169" s="7"/>
      <c r="H169" s="7"/>
      <c r="I169" s="9"/>
      <c r="J169" s="7"/>
      <c r="K169" s="11"/>
      <c r="L169" s="7"/>
      <c r="M169" s="9"/>
      <c r="N169" s="7"/>
      <c r="O169" s="9"/>
      <c r="P169" s="9"/>
      <c r="Q169" s="9"/>
    </row>
    <row r="170" spans="4:17">
      <c r="D170" s="7"/>
      <c r="E170" s="7"/>
      <c r="F170" s="9"/>
      <c r="G170" s="7"/>
      <c r="H170" s="7"/>
      <c r="I170" s="9"/>
      <c r="J170" s="7"/>
      <c r="K170" s="11"/>
      <c r="L170" s="7"/>
      <c r="M170" s="9"/>
      <c r="N170" s="7"/>
      <c r="O170" s="9"/>
      <c r="P170" s="9"/>
      <c r="Q170" s="9"/>
    </row>
    <row r="171" spans="4:17">
      <c r="D171" s="7"/>
      <c r="E171" s="7"/>
      <c r="F171" s="9"/>
      <c r="G171" s="7"/>
      <c r="H171" s="7"/>
      <c r="I171" s="9"/>
      <c r="J171" s="7"/>
      <c r="K171" s="11"/>
      <c r="L171" s="7"/>
      <c r="M171" s="9"/>
      <c r="N171" s="7"/>
      <c r="O171" s="9"/>
      <c r="P171" s="9"/>
      <c r="Q171" s="9"/>
    </row>
    <row r="172" spans="4:17">
      <c r="D172" s="7"/>
      <c r="E172" s="7"/>
      <c r="F172" s="9"/>
      <c r="G172" s="7"/>
      <c r="H172" s="7"/>
      <c r="I172" s="9"/>
      <c r="J172" s="7"/>
      <c r="K172" s="11"/>
      <c r="L172" s="7"/>
      <c r="M172" s="9"/>
      <c r="N172" s="7"/>
      <c r="O172" s="9"/>
      <c r="P172" s="9"/>
      <c r="Q172" s="9"/>
    </row>
    <row r="173" spans="4:17">
      <c r="D173" s="7"/>
      <c r="E173" s="7"/>
      <c r="F173" s="9"/>
      <c r="G173" s="7"/>
      <c r="H173" s="7"/>
      <c r="I173" s="9"/>
      <c r="J173" s="7"/>
      <c r="K173" s="11"/>
      <c r="L173" s="7"/>
      <c r="M173" s="9"/>
      <c r="N173" s="7"/>
      <c r="O173" s="9"/>
      <c r="P173" s="9"/>
      <c r="Q173" s="9"/>
    </row>
    <row r="174" spans="4:17">
      <c r="D174" s="7"/>
      <c r="E174" s="7"/>
      <c r="F174" s="9"/>
      <c r="G174" s="7"/>
      <c r="H174" s="7"/>
      <c r="I174" s="9"/>
      <c r="J174" s="7"/>
      <c r="K174" s="11"/>
      <c r="L174" s="7"/>
      <c r="M174" s="9"/>
      <c r="N174" s="7"/>
      <c r="O174" s="9"/>
      <c r="P174" s="9"/>
      <c r="Q174" s="9"/>
    </row>
    <row r="175" spans="4:17">
      <c r="D175" s="7"/>
      <c r="E175" s="7"/>
      <c r="F175" s="9"/>
      <c r="G175" s="7"/>
      <c r="H175" s="7"/>
      <c r="I175" s="9"/>
      <c r="J175" s="7"/>
      <c r="K175" s="11"/>
      <c r="L175" s="7"/>
      <c r="M175" s="9"/>
      <c r="N175" s="7"/>
      <c r="O175" s="9"/>
      <c r="P175" s="9"/>
      <c r="Q175" s="9"/>
    </row>
    <row r="176" spans="4:17">
      <c r="D176" s="7"/>
      <c r="E176" s="7"/>
      <c r="F176" s="9"/>
      <c r="G176" s="7"/>
      <c r="H176" s="7"/>
      <c r="I176" s="9"/>
      <c r="J176" s="7"/>
      <c r="K176" s="11"/>
      <c r="L176" s="7"/>
      <c r="M176" s="9"/>
      <c r="N176" s="7"/>
      <c r="O176" s="9"/>
      <c r="P176" s="9"/>
      <c r="Q176" s="9"/>
    </row>
    <row r="177" spans="4:17">
      <c r="D177" s="7"/>
      <c r="E177" s="7"/>
      <c r="F177" s="9"/>
      <c r="G177" s="7"/>
      <c r="H177" s="7"/>
      <c r="I177" s="9"/>
      <c r="J177" s="7"/>
      <c r="K177" s="11"/>
      <c r="L177" s="7"/>
      <c r="M177" s="9"/>
      <c r="N177" s="7"/>
      <c r="O177" s="9"/>
      <c r="P177" s="9"/>
      <c r="Q177" s="9"/>
    </row>
    <row r="178" spans="4:17">
      <c r="D178" s="7"/>
      <c r="E178" s="7"/>
      <c r="F178" s="9"/>
      <c r="G178" s="7"/>
      <c r="H178" s="7"/>
      <c r="I178" s="9"/>
      <c r="J178" s="7"/>
      <c r="K178" s="11"/>
      <c r="L178" s="7"/>
      <c r="M178" s="9"/>
      <c r="N178" s="7"/>
      <c r="O178" s="9"/>
      <c r="P178" s="9"/>
      <c r="Q178" s="9"/>
    </row>
    <row r="179" spans="4:17">
      <c r="D179" s="7"/>
      <c r="E179" s="7"/>
      <c r="F179" s="9"/>
      <c r="G179" s="7"/>
      <c r="H179" s="7"/>
      <c r="I179" s="9"/>
      <c r="J179" s="7"/>
      <c r="K179" s="11"/>
      <c r="L179" s="7"/>
      <c r="M179" s="9"/>
      <c r="N179" s="7"/>
      <c r="O179" s="9"/>
      <c r="P179" s="9"/>
      <c r="Q179" s="9"/>
    </row>
    <row r="180" spans="4:17">
      <c r="D180" s="7"/>
      <c r="E180" s="7"/>
      <c r="F180" s="9"/>
      <c r="G180" s="7"/>
      <c r="H180" s="7"/>
      <c r="I180" s="9"/>
      <c r="J180" s="7"/>
      <c r="K180" s="11"/>
      <c r="L180" s="7"/>
      <c r="M180" s="9"/>
      <c r="N180" s="7"/>
      <c r="O180" s="9"/>
      <c r="P180" s="9"/>
      <c r="Q180" s="9"/>
    </row>
    <row r="181" spans="4:17">
      <c r="D181" s="7"/>
      <c r="E181" s="7"/>
      <c r="F181" s="9"/>
      <c r="G181" s="7"/>
      <c r="H181" s="7"/>
      <c r="I181" s="9"/>
      <c r="J181" s="7"/>
      <c r="K181" s="11"/>
      <c r="L181" s="7"/>
      <c r="M181" s="9"/>
      <c r="N181" s="7"/>
      <c r="O181" s="9"/>
      <c r="P181" s="9"/>
      <c r="Q181" s="9"/>
    </row>
    <row r="182" spans="4:17">
      <c r="D182" s="7"/>
      <c r="E182" s="7"/>
      <c r="F182" s="9"/>
      <c r="G182" s="7"/>
      <c r="H182" s="7"/>
      <c r="I182" s="9"/>
      <c r="J182" s="7"/>
      <c r="K182" s="11"/>
      <c r="L182" s="7"/>
      <c r="M182" s="9"/>
      <c r="N182" s="7"/>
      <c r="O182" s="9"/>
      <c r="P182" s="9"/>
      <c r="Q182" s="9"/>
    </row>
    <row r="183" spans="4:17">
      <c r="D183" s="7"/>
      <c r="E183" s="7"/>
      <c r="F183" s="9"/>
      <c r="G183" s="7"/>
      <c r="H183" s="7"/>
      <c r="I183" s="9"/>
      <c r="J183" s="7"/>
      <c r="K183" s="11"/>
      <c r="L183" s="7"/>
      <c r="M183" s="9"/>
      <c r="N183" s="7"/>
      <c r="O183" s="9"/>
      <c r="P183" s="9"/>
      <c r="Q183" s="9"/>
    </row>
    <row r="184" spans="4:17">
      <c r="D184" s="7"/>
      <c r="E184" s="7"/>
      <c r="F184" s="9"/>
      <c r="G184" s="7"/>
      <c r="H184" s="7"/>
      <c r="I184" s="9"/>
      <c r="J184" s="7"/>
      <c r="K184" s="11"/>
      <c r="L184" s="7"/>
      <c r="M184" s="9"/>
      <c r="N184" s="7"/>
      <c r="O184" s="9"/>
      <c r="P184" s="9"/>
      <c r="Q184" s="9"/>
    </row>
    <row r="185" spans="4:17">
      <c r="D185" s="7"/>
      <c r="E185" s="7"/>
      <c r="F185" s="9"/>
      <c r="G185" s="7"/>
      <c r="H185" s="7"/>
      <c r="I185" s="9"/>
      <c r="J185" s="7"/>
      <c r="K185" s="11"/>
      <c r="L185" s="7"/>
      <c r="M185" s="9"/>
      <c r="N185" s="7"/>
      <c r="O185" s="9"/>
      <c r="P185" s="9"/>
      <c r="Q185" s="9"/>
    </row>
    <row r="186" spans="4:17">
      <c r="D186" s="7"/>
      <c r="E186" s="7"/>
      <c r="F186" s="9"/>
      <c r="G186" s="7"/>
      <c r="H186" s="7"/>
      <c r="I186" s="9"/>
      <c r="J186" s="7"/>
      <c r="K186" s="11"/>
      <c r="L186" s="7"/>
      <c r="M186" s="9"/>
      <c r="N186" s="7"/>
      <c r="O186" s="9"/>
      <c r="P186" s="9"/>
      <c r="Q186" s="9"/>
    </row>
    <row r="187" spans="4:17">
      <c r="D187" s="7"/>
      <c r="E187" s="7"/>
      <c r="F187" s="9"/>
      <c r="G187" s="7"/>
      <c r="H187" s="7"/>
      <c r="I187" s="9"/>
      <c r="J187" s="7"/>
      <c r="K187" s="11"/>
      <c r="L187" s="7"/>
      <c r="M187" s="9"/>
      <c r="N187" s="7"/>
      <c r="O187" s="9"/>
      <c r="P187" s="9"/>
      <c r="Q187" s="9"/>
    </row>
    <row r="188" spans="4:17">
      <c r="D188" s="7"/>
      <c r="E188" s="7"/>
      <c r="F188" s="9"/>
      <c r="G188" s="7"/>
      <c r="H188" s="7"/>
      <c r="I188" s="9"/>
      <c r="J188" s="7"/>
      <c r="K188" s="11"/>
      <c r="L188" s="7"/>
      <c r="M188" s="9"/>
      <c r="N188" s="7"/>
      <c r="O188" s="9"/>
      <c r="P188" s="9"/>
      <c r="Q188" s="9"/>
    </row>
    <row r="189" spans="4:17">
      <c r="D189" s="7"/>
      <c r="E189" s="7"/>
      <c r="F189" s="9"/>
      <c r="G189" s="7"/>
      <c r="H189" s="7"/>
      <c r="I189" s="9"/>
      <c r="J189" s="7"/>
      <c r="K189" s="11"/>
      <c r="L189" s="7"/>
      <c r="M189" s="9"/>
      <c r="N189" s="7"/>
      <c r="O189" s="9"/>
      <c r="P189" s="9"/>
      <c r="Q189" s="9"/>
    </row>
    <row r="190" spans="4:17">
      <c r="D190" s="7"/>
      <c r="E190" s="7"/>
      <c r="F190" s="9"/>
      <c r="G190" s="7"/>
      <c r="H190" s="7"/>
      <c r="I190" s="9"/>
      <c r="J190" s="7"/>
      <c r="K190" s="11"/>
      <c r="L190" s="7"/>
      <c r="M190" s="9"/>
      <c r="N190" s="7"/>
      <c r="O190" s="9"/>
      <c r="P190" s="9"/>
      <c r="Q190" s="9"/>
    </row>
    <row r="191" spans="4:17">
      <c r="D191" s="7"/>
      <c r="E191" s="7"/>
      <c r="F191" s="9"/>
      <c r="G191" s="7"/>
      <c r="H191" s="7"/>
      <c r="I191" s="9"/>
      <c r="J191" s="7"/>
      <c r="K191" s="11"/>
      <c r="L191" s="7"/>
      <c r="M191" s="9"/>
      <c r="N191" s="7"/>
      <c r="O191" s="9"/>
      <c r="P191" s="9"/>
      <c r="Q191" s="9"/>
    </row>
    <row r="192" spans="4:17">
      <c r="D192" s="7"/>
      <c r="E192" s="7"/>
      <c r="F192" s="9"/>
      <c r="G192" s="7"/>
      <c r="H192" s="7"/>
      <c r="I192" s="9"/>
      <c r="J192" s="7"/>
      <c r="K192" s="11"/>
      <c r="L192" s="7"/>
      <c r="M192" s="9"/>
      <c r="N192" s="7"/>
      <c r="O192" s="9"/>
      <c r="P192" s="9"/>
      <c r="Q192" s="9"/>
    </row>
    <row r="193" spans="4:17">
      <c r="D193" s="7"/>
      <c r="E193" s="7"/>
      <c r="F193" s="9"/>
      <c r="G193" s="7"/>
      <c r="H193" s="7"/>
      <c r="I193" s="9"/>
      <c r="J193" s="7"/>
      <c r="K193" s="11"/>
      <c r="L193" s="7"/>
      <c r="M193" s="9"/>
      <c r="N193" s="7"/>
      <c r="O193" s="9"/>
      <c r="P193" s="9"/>
      <c r="Q193" s="9"/>
    </row>
    <row r="194" spans="4:17">
      <c r="D194" s="7"/>
      <c r="E194" s="7"/>
      <c r="F194" s="9"/>
      <c r="G194" s="7"/>
      <c r="H194" s="7"/>
      <c r="I194" s="9"/>
      <c r="J194" s="7"/>
      <c r="K194" s="11"/>
      <c r="L194" s="7"/>
      <c r="M194" s="9"/>
      <c r="N194" s="7"/>
      <c r="O194" s="9"/>
      <c r="P194" s="9"/>
      <c r="Q194" s="9"/>
    </row>
    <row r="195" spans="4:17">
      <c r="D195" s="7"/>
      <c r="E195" s="7"/>
      <c r="F195" s="9"/>
      <c r="G195" s="7"/>
      <c r="H195" s="7"/>
      <c r="I195" s="9"/>
      <c r="J195" s="7"/>
      <c r="K195" s="11"/>
      <c r="L195" s="7"/>
      <c r="M195" s="9"/>
      <c r="N195" s="7"/>
      <c r="O195" s="9"/>
      <c r="P195" s="9"/>
      <c r="Q195" s="9"/>
    </row>
    <row r="196" spans="4:17">
      <c r="D196" s="7"/>
      <c r="E196" s="7"/>
      <c r="F196" s="9"/>
      <c r="G196" s="7"/>
      <c r="H196" s="7"/>
      <c r="I196" s="9"/>
      <c r="J196" s="7"/>
      <c r="K196" s="11"/>
      <c r="L196" s="7"/>
      <c r="M196" s="9"/>
      <c r="N196" s="7"/>
      <c r="O196" s="9"/>
      <c r="P196" s="9"/>
      <c r="Q196" s="9"/>
    </row>
    <row r="197" spans="4:17">
      <c r="D197" s="7"/>
      <c r="E197" s="7"/>
      <c r="F197" s="9"/>
      <c r="G197" s="7"/>
      <c r="H197" s="7"/>
      <c r="I197" s="9"/>
      <c r="J197" s="7"/>
      <c r="K197" s="11"/>
      <c r="L197" s="7"/>
      <c r="M197" s="9"/>
      <c r="N197" s="7"/>
      <c r="O197" s="9"/>
      <c r="P197" s="9"/>
      <c r="Q197" s="9"/>
    </row>
    <row r="198" spans="4:17">
      <c r="D198" s="7"/>
      <c r="E198" s="7"/>
      <c r="F198" s="9"/>
      <c r="G198" s="7"/>
      <c r="H198" s="7"/>
      <c r="I198" s="9"/>
      <c r="J198" s="7"/>
      <c r="K198" s="11"/>
      <c r="L198" s="7"/>
      <c r="M198" s="9"/>
      <c r="N198" s="7"/>
      <c r="O198" s="9"/>
      <c r="P198" s="9"/>
      <c r="Q198" s="9"/>
    </row>
    <row r="199" spans="4:17">
      <c r="D199" s="7"/>
      <c r="E199" s="7"/>
      <c r="F199" s="9"/>
      <c r="G199" s="7"/>
      <c r="H199" s="7"/>
      <c r="I199" s="9"/>
      <c r="J199" s="7"/>
      <c r="K199" s="11"/>
      <c r="L199" s="7"/>
      <c r="M199" s="9"/>
      <c r="N199" s="7"/>
      <c r="O199" s="9"/>
      <c r="P199" s="9"/>
      <c r="Q199" s="9"/>
    </row>
    <row r="200" spans="4:17">
      <c r="D200" s="7"/>
      <c r="E200" s="7"/>
      <c r="F200" s="9"/>
      <c r="G200" s="7"/>
      <c r="H200" s="7"/>
      <c r="I200" s="9"/>
      <c r="J200" s="7"/>
      <c r="K200" s="11"/>
      <c r="L200" s="7"/>
      <c r="M200" s="9"/>
      <c r="N200" s="7"/>
      <c r="O200" s="9"/>
      <c r="P200" s="9"/>
      <c r="Q200" s="9"/>
    </row>
    <row r="201" spans="4:17">
      <c r="D201" s="7"/>
      <c r="E201" s="7"/>
      <c r="F201" s="9"/>
      <c r="G201" s="7"/>
      <c r="H201" s="7"/>
      <c r="I201" s="9"/>
      <c r="J201" s="7"/>
      <c r="K201" s="11"/>
      <c r="L201" s="7"/>
      <c r="M201" s="9"/>
      <c r="N201" s="7"/>
      <c r="O201" s="9"/>
      <c r="P201" s="9"/>
      <c r="Q201" s="9"/>
    </row>
    <row r="202" spans="4:17">
      <c r="D202" s="7"/>
      <c r="E202" s="7"/>
      <c r="F202" s="9"/>
      <c r="G202" s="7"/>
      <c r="H202" s="7"/>
      <c r="I202" s="9"/>
      <c r="J202" s="7"/>
      <c r="K202" s="11"/>
      <c r="L202" s="7"/>
      <c r="M202" s="9"/>
      <c r="N202" s="7"/>
      <c r="O202" s="9"/>
      <c r="P202" s="9"/>
      <c r="Q202" s="9"/>
    </row>
    <row r="203" spans="4:17">
      <c r="D203" s="7"/>
      <c r="E203" s="7"/>
      <c r="F203" s="9"/>
      <c r="G203" s="7"/>
      <c r="H203" s="7"/>
      <c r="I203" s="9"/>
      <c r="J203" s="7"/>
      <c r="K203" s="11"/>
      <c r="L203" s="7"/>
      <c r="M203" s="9"/>
      <c r="N203" s="7"/>
      <c r="O203" s="9"/>
      <c r="P203" s="9"/>
      <c r="Q203" s="9"/>
    </row>
    <row r="204" spans="4:17">
      <c r="D204" s="7"/>
      <c r="E204" s="7"/>
      <c r="F204" s="9"/>
      <c r="G204" s="7"/>
      <c r="H204" s="7"/>
      <c r="I204" s="9"/>
      <c r="J204" s="7"/>
      <c r="K204" s="11"/>
      <c r="L204" s="7"/>
      <c r="M204" s="9"/>
      <c r="N204" s="7"/>
      <c r="O204" s="9"/>
      <c r="P204" s="9"/>
      <c r="Q204" s="9"/>
    </row>
    <row r="205" spans="4:17">
      <c r="D205" s="7"/>
      <c r="E205" s="7"/>
      <c r="F205" s="9"/>
      <c r="G205" s="7"/>
      <c r="H205" s="7"/>
      <c r="I205" s="9"/>
      <c r="J205" s="7"/>
      <c r="K205" s="11"/>
      <c r="L205" s="7"/>
      <c r="M205" s="9"/>
      <c r="N205" s="7"/>
      <c r="O205" s="9"/>
      <c r="P205" s="9"/>
      <c r="Q205" s="9"/>
    </row>
    <row r="206" spans="4:17">
      <c r="D206" s="7"/>
      <c r="E206" s="7"/>
      <c r="F206" s="9"/>
      <c r="G206" s="7"/>
      <c r="H206" s="7"/>
      <c r="I206" s="9"/>
      <c r="J206" s="7"/>
      <c r="K206" s="11"/>
      <c r="L206" s="7"/>
      <c r="M206" s="9"/>
      <c r="N206" s="7"/>
      <c r="O206" s="9"/>
      <c r="P206" s="9"/>
      <c r="Q206" s="9"/>
    </row>
    <row r="207" spans="4:17">
      <c r="D207" s="7"/>
      <c r="E207" s="7"/>
      <c r="F207" s="9"/>
      <c r="G207" s="7"/>
      <c r="H207" s="7"/>
      <c r="I207" s="9"/>
      <c r="J207" s="7"/>
      <c r="K207" s="11"/>
      <c r="L207" s="7"/>
      <c r="M207" s="9"/>
      <c r="N207" s="7"/>
      <c r="O207" s="9"/>
      <c r="P207" s="9"/>
      <c r="Q207" s="9"/>
    </row>
    <row r="208" spans="4:17">
      <c r="D208" s="7"/>
      <c r="E208" s="7"/>
      <c r="F208" s="9"/>
      <c r="G208" s="7"/>
      <c r="H208" s="7"/>
      <c r="I208" s="9"/>
      <c r="J208" s="7"/>
      <c r="K208" s="11"/>
      <c r="L208" s="7"/>
      <c r="M208" s="9"/>
      <c r="N208" s="7"/>
      <c r="O208" s="9"/>
      <c r="P208" s="9"/>
      <c r="Q208" s="9"/>
    </row>
    <row r="209" spans="1:17">
      <c r="D209" s="7"/>
      <c r="E209" s="7"/>
      <c r="F209" s="9"/>
      <c r="G209" s="7"/>
      <c r="H209" s="7"/>
      <c r="I209" s="9"/>
      <c r="J209" s="7"/>
      <c r="K209" s="11"/>
      <c r="L209" s="7"/>
      <c r="M209" s="9"/>
      <c r="N209" s="7"/>
      <c r="O209" s="9"/>
      <c r="P209" s="9"/>
      <c r="Q209" s="9"/>
    </row>
    <row r="210" spans="1:17">
      <c r="D210" s="7"/>
      <c r="E210" s="7"/>
      <c r="F210" s="9"/>
      <c r="G210" s="7"/>
      <c r="H210" s="7"/>
      <c r="I210" s="9"/>
      <c r="J210" s="7"/>
      <c r="K210" s="11"/>
      <c r="L210" s="7"/>
      <c r="M210" s="9"/>
      <c r="N210" s="7"/>
      <c r="O210" s="9"/>
      <c r="P210" s="9"/>
      <c r="Q210" s="9"/>
    </row>
    <row r="211" spans="1:17">
      <c r="D211" s="7"/>
      <c r="E211" s="7"/>
      <c r="F211" s="9"/>
      <c r="G211" s="7"/>
      <c r="H211" s="7"/>
      <c r="I211" s="9"/>
      <c r="J211" s="7"/>
      <c r="K211" s="11"/>
      <c r="L211" s="7"/>
      <c r="M211" s="9"/>
      <c r="N211" s="7"/>
      <c r="O211" s="9"/>
      <c r="P211" s="9"/>
      <c r="Q211" s="9"/>
    </row>
    <row r="212" spans="1:17">
      <c r="D212" s="7"/>
      <c r="E212" s="7"/>
      <c r="F212" s="9"/>
      <c r="G212" s="7"/>
      <c r="H212" s="7"/>
      <c r="I212" s="9"/>
      <c r="J212" s="7"/>
      <c r="K212" s="11"/>
      <c r="L212" s="7"/>
      <c r="M212" s="9"/>
      <c r="N212" s="7"/>
      <c r="O212" s="9"/>
      <c r="P212" s="9"/>
      <c r="Q212" s="9"/>
    </row>
    <row r="213" spans="1:17">
      <c r="D213" s="7"/>
      <c r="E213" s="7"/>
      <c r="F213" s="9"/>
      <c r="G213" s="7"/>
      <c r="H213" s="7"/>
      <c r="I213" s="9"/>
      <c r="J213" s="7"/>
      <c r="K213" s="11"/>
      <c r="L213" s="7"/>
      <c r="M213" s="9"/>
      <c r="N213" s="7"/>
      <c r="O213" s="9"/>
      <c r="P213" s="9"/>
      <c r="Q213" s="9"/>
    </row>
    <row r="214" spans="1:17">
      <c r="D214" s="7"/>
      <c r="E214" s="7"/>
      <c r="F214" s="9"/>
      <c r="G214" s="7"/>
      <c r="H214" s="7"/>
      <c r="I214" s="9"/>
      <c r="J214" s="7"/>
      <c r="K214" s="11"/>
      <c r="L214" s="7"/>
      <c r="M214" s="9"/>
      <c r="N214" s="7"/>
      <c r="O214" s="9"/>
      <c r="P214" s="9"/>
      <c r="Q214" s="9"/>
    </row>
    <row r="215" spans="1:17">
      <c r="D215" s="7"/>
      <c r="E215" s="7"/>
      <c r="F215" s="9"/>
      <c r="G215" s="7"/>
      <c r="H215" s="7"/>
      <c r="I215" s="9"/>
      <c r="J215" s="7"/>
      <c r="K215" s="11"/>
      <c r="L215" s="7"/>
      <c r="M215" s="9"/>
      <c r="N215" s="7"/>
      <c r="O215" s="9"/>
      <c r="P215" s="9"/>
      <c r="Q215" s="9"/>
    </row>
    <row r="216" spans="1:17">
      <c r="D216" s="7"/>
      <c r="E216" s="7"/>
      <c r="F216" s="9"/>
      <c r="G216" s="7"/>
      <c r="H216" s="7"/>
      <c r="I216" s="9"/>
      <c r="J216" s="7"/>
      <c r="K216" s="11"/>
      <c r="L216" s="7"/>
      <c r="M216" s="9"/>
      <c r="N216" s="7"/>
      <c r="O216" s="9"/>
      <c r="P216" s="9"/>
      <c r="Q216" s="9"/>
    </row>
    <row r="217" spans="1:17">
      <c r="D217" s="7"/>
      <c r="E217" s="7"/>
      <c r="F217" s="9"/>
      <c r="G217" s="7"/>
      <c r="H217" s="7"/>
      <c r="I217" s="9"/>
      <c r="J217" s="7"/>
      <c r="K217" s="11"/>
      <c r="L217" s="7"/>
      <c r="M217" s="9"/>
      <c r="N217" s="7"/>
      <c r="O217" s="9"/>
      <c r="P217" s="9"/>
      <c r="Q217" s="9"/>
    </row>
    <row r="218" spans="1:17">
      <c r="D218" s="7"/>
      <c r="E218" s="7"/>
      <c r="F218" s="9"/>
      <c r="G218" s="7"/>
      <c r="H218" s="7"/>
      <c r="I218" s="9"/>
      <c r="J218" s="7"/>
      <c r="K218" s="11"/>
      <c r="L218" s="7"/>
      <c r="M218" s="9"/>
      <c r="N218" s="7"/>
      <c r="O218" s="9"/>
      <c r="P218" s="9"/>
      <c r="Q218" s="9"/>
    </row>
    <row r="219" spans="1:17">
      <c r="D219" s="7"/>
      <c r="E219" s="7"/>
      <c r="F219" s="9"/>
      <c r="G219" s="7"/>
      <c r="H219" s="7"/>
      <c r="I219" s="9"/>
      <c r="J219" s="7"/>
      <c r="K219" s="11"/>
      <c r="L219" s="7"/>
      <c r="M219" s="9"/>
      <c r="N219" s="7"/>
      <c r="O219" s="9"/>
      <c r="P219" s="9"/>
      <c r="Q219" s="9"/>
    </row>
    <row r="220" spans="1:17">
      <c r="D220" s="7"/>
      <c r="E220" s="7"/>
      <c r="F220" s="9"/>
      <c r="G220" s="7"/>
      <c r="H220" s="7"/>
      <c r="I220" s="9"/>
      <c r="J220" s="7"/>
      <c r="K220" s="11"/>
      <c r="L220" s="7"/>
      <c r="M220" s="9"/>
      <c r="N220" s="7"/>
      <c r="O220" s="9"/>
      <c r="P220" s="9"/>
      <c r="Q220" s="9"/>
    </row>
    <row r="221" spans="1:17">
      <c r="A221" s="3">
        <v>4</v>
      </c>
      <c r="D221" s="7"/>
      <c r="E221" s="7"/>
      <c r="F221" s="9"/>
      <c r="G221" s="7"/>
      <c r="H221" s="7"/>
      <c r="I221" s="9"/>
      <c r="J221" s="7"/>
      <c r="K221" s="11"/>
      <c r="L221" s="7"/>
      <c r="M221" s="9"/>
      <c r="N221" s="7"/>
      <c r="O221" s="9"/>
      <c r="P221" s="9"/>
      <c r="Q221" s="9"/>
    </row>
    <row r="222" spans="1:17">
      <c r="D222" s="7"/>
      <c r="E222" s="7"/>
      <c r="F222" s="9"/>
      <c r="G222" s="7"/>
      <c r="H222" s="7"/>
      <c r="I222" s="9"/>
      <c r="J222" s="7"/>
      <c r="K222" s="11"/>
      <c r="L222" s="7"/>
      <c r="M222" s="9"/>
      <c r="N222" s="7"/>
      <c r="O222" s="9"/>
      <c r="P222" s="9"/>
      <c r="Q222" s="9"/>
    </row>
    <row r="223" spans="1:17">
      <c r="D223" s="7"/>
      <c r="E223" s="7"/>
      <c r="F223" s="9"/>
      <c r="G223" s="7"/>
      <c r="H223" s="7"/>
      <c r="I223" s="9"/>
      <c r="J223" s="7"/>
      <c r="K223" s="11"/>
      <c r="L223" s="7"/>
      <c r="M223" s="9"/>
      <c r="N223" s="7"/>
      <c r="O223" s="9"/>
      <c r="P223" s="9"/>
      <c r="Q223" s="9"/>
    </row>
    <row r="224" spans="1:17">
      <c r="D224" s="7"/>
      <c r="E224" s="7"/>
      <c r="F224" s="9"/>
      <c r="G224" s="7"/>
      <c r="H224" s="7"/>
      <c r="I224" s="9"/>
      <c r="J224" s="7"/>
      <c r="K224" s="11"/>
      <c r="L224" s="7"/>
      <c r="M224" s="9"/>
      <c r="N224" s="7"/>
      <c r="O224" s="9"/>
      <c r="P224" s="9"/>
      <c r="Q224" s="9"/>
    </row>
    <row r="225" spans="4:17">
      <c r="D225" s="7"/>
      <c r="E225" s="7"/>
      <c r="F225" s="9"/>
      <c r="G225" s="7"/>
      <c r="H225" s="7"/>
      <c r="I225" s="9"/>
      <c r="J225" s="7"/>
      <c r="K225" s="11"/>
      <c r="L225" s="7"/>
      <c r="M225" s="9"/>
      <c r="N225" s="7"/>
      <c r="O225" s="9"/>
      <c r="P225" s="9"/>
      <c r="Q225" s="9"/>
    </row>
    <row r="226" spans="4:17">
      <c r="D226" s="7"/>
      <c r="E226" s="7"/>
      <c r="F226" s="9"/>
      <c r="G226" s="7"/>
      <c r="H226" s="7"/>
      <c r="I226" s="9"/>
      <c r="J226" s="7"/>
      <c r="K226" s="11"/>
      <c r="L226" s="7"/>
      <c r="M226" s="9"/>
      <c r="N226" s="7"/>
      <c r="O226" s="9"/>
      <c r="P226" s="9"/>
      <c r="Q226" s="9"/>
    </row>
  </sheetData>
  <pageMargins left="0.25" right="0.25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w plot#</vt:lpstr>
      <vt:lpstr>Table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Martens</dc:creator>
  <cp:lastModifiedBy>David Benscher</cp:lastModifiedBy>
  <dcterms:created xsi:type="dcterms:W3CDTF">2025-04-02T17:01:05Z</dcterms:created>
  <dcterms:modified xsi:type="dcterms:W3CDTF">2025-04-03T18:48:09Z</dcterms:modified>
</cp:coreProperties>
</file>