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im Sepp\Box\Lenovo\GitHub\WMB-NY\data\pheno\MQ\"/>
    </mc:Choice>
  </mc:AlternateContent>
  <xr:revisionPtr revIDLastSave="0" documentId="13_ncr:1_{D96E37FB-D015-44CE-A4B6-F01B0BF12F11}" xr6:coauthVersionLast="47" xr6:coauthVersionMax="47" xr10:uidLastSave="{00000000-0000-0000-0000-000000000000}"/>
  <bookViews>
    <workbookView xWindow="-110" yWindow="-110" windowWidth="19420" windowHeight="10300" activeTab="3" xr2:uid="{A38CFBBA-08CB-DF4F-BD98-77F3954C5B44}"/>
  </bookViews>
  <sheets>
    <sheet name="Sheet1" sheetId="1" r:id="rId1"/>
    <sheet name="RegBLUEs" sheetId="2" r:id="rId2"/>
    <sheet name="mstrBLUPs" sheetId="3" r:id="rId3"/>
    <sheet name="mstrBLUP(non-additive)" sheetId="4" r:id="rId4"/>
  </sheets>
  <definedNames>
    <definedName name="_xlnm._FilterDatabase" localSheetId="3" hidden="1">'mstrBLUP(non-additive)'!$A$3:$O$3</definedName>
    <definedName name="_xlnm._FilterDatabase" localSheetId="2" hidden="1">mstrBLUPs!$A$3:$N$3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1" l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R31" i="1"/>
  <c r="Q31" i="1"/>
  <c r="P31" i="1"/>
  <c r="O31" i="1"/>
  <c r="N31" i="1"/>
  <c r="M31" i="1"/>
  <c r="L31" i="1"/>
  <c r="F31" i="1"/>
  <c r="E31" i="1"/>
  <c r="K31" i="1"/>
  <c r="J31" i="1"/>
  <c r="I31" i="1"/>
  <c r="H31" i="1"/>
  <c r="G31" i="1"/>
  <c r="D31" i="1"/>
  <c r="C31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R20" i="1"/>
  <c r="Q20" i="1"/>
  <c r="P20" i="1"/>
  <c r="O20" i="1"/>
  <c r="N20" i="1"/>
  <c r="M20" i="1"/>
  <c r="L20" i="1"/>
  <c r="F20" i="1"/>
  <c r="E20" i="1"/>
  <c r="K20" i="1"/>
  <c r="J20" i="1"/>
  <c r="I20" i="1"/>
  <c r="H20" i="1"/>
  <c r="G20" i="1"/>
  <c r="D20" i="1"/>
  <c r="C20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R15" i="1"/>
  <c r="Q15" i="1"/>
  <c r="P15" i="1"/>
  <c r="O15" i="1"/>
  <c r="N15" i="1"/>
  <c r="M15" i="1"/>
  <c r="L15" i="1"/>
  <c r="F15" i="1"/>
  <c r="E15" i="1"/>
  <c r="K15" i="1"/>
  <c r="J15" i="1"/>
  <c r="I15" i="1"/>
  <c r="H15" i="1"/>
  <c r="G15" i="1"/>
  <c r="D15" i="1"/>
  <c r="C15" i="1"/>
  <c r="R11" i="1"/>
  <c r="Q11" i="1"/>
  <c r="P11" i="1"/>
  <c r="O11" i="1"/>
  <c r="N11" i="1"/>
  <c r="M11" i="1"/>
  <c r="L11" i="1"/>
  <c r="F11" i="1"/>
  <c r="E11" i="1"/>
  <c r="K11" i="1"/>
  <c r="J11" i="1"/>
  <c r="I11" i="1"/>
  <c r="H11" i="1"/>
  <c r="G11" i="1"/>
  <c r="D11" i="1"/>
  <c r="C11" i="1"/>
  <c r="U45" i="1"/>
  <c r="U44" i="1"/>
  <c r="U43" i="1"/>
  <c r="U40" i="1"/>
  <c r="U39" i="1"/>
  <c r="U38" i="1"/>
  <c r="U37" i="1"/>
  <c r="U34" i="1"/>
  <c r="U33" i="1"/>
  <c r="U30" i="1"/>
  <c r="U29" i="1"/>
  <c r="U28" i="1"/>
  <c r="U27" i="1"/>
  <c r="U24" i="1"/>
  <c r="U23" i="1"/>
  <c r="U22" i="1"/>
  <c r="U19" i="1"/>
  <c r="U18" i="1"/>
  <c r="U17" i="1"/>
  <c r="U14" i="1"/>
  <c r="U13" i="1"/>
  <c r="U6" i="1"/>
  <c r="U7" i="1"/>
  <c r="U8" i="1"/>
  <c r="U9" i="1"/>
  <c r="U10" i="1"/>
  <c r="U5" i="1"/>
</calcChain>
</file>

<file path=xl/sharedStrings.xml><?xml version="1.0" encoding="utf-8"?>
<sst xmlns="http://schemas.openxmlformats.org/spreadsheetml/2006/main" count="488" uniqueCount="195">
  <si>
    <t>Source</t>
  </si>
  <si>
    <t>NYBS811-43</t>
  </si>
  <si>
    <t>NYBS812-50</t>
  </si>
  <si>
    <t>NYBS811-33</t>
  </si>
  <si>
    <t>NYBS811-34</t>
  </si>
  <si>
    <t>NY17024-2-45</t>
  </si>
  <si>
    <t>NYBS813-112</t>
  </si>
  <si>
    <t>NYBS710-42</t>
  </si>
  <si>
    <t>Master23-56 Plot-7388</t>
  </si>
  <si>
    <t>Name</t>
  </si>
  <si>
    <t>Kernel</t>
  </si>
  <si>
    <t>on</t>
  </si>
  <si>
    <t>Barley</t>
  </si>
  <si>
    <t>Malt</t>
  </si>
  <si>
    <t>Wort</t>
  </si>
  <si>
    <t>Alpha-</t>
  </si>
  <si>
    <t>Beta-</t>
  </si>
  <si>
    <t>Adjunct</t>
  </si>
  <si>
    <t>All Malt</t>
  </si>
  <si>
    <t>Weight</t>
  </si>
  <si>
    <t>6/64"</t>
  </si>
  <si>
    <t>Color</t>
  </si>
  <si>
    <t>Extract</t>
  </si>
  <si>
    <t>Protein</t>
  </si>
  <si>
    <t>S/T</t>
  </si>
  <si>
    <t>DP</t>
  </si>
  <si>
    <t>amylase</t>
  </si>
  <si>
    <t>glucan</t>
  </si>
  <si>
    <t>FAN</t>
  </si>
  <si>
    <t>Quality</t>
  </si>
  <si>
    <t>Overall</t>
  </si>
  <si>
    <t>(mg)</t>
  </si>
  <si>
    <t>(%)</t>
  </si>
  <si>
    <t>(Agtron)</t>
  </si>
  <si>
    <t>Clarity</t>
  </si>
  <si>
    <t>(°ASBC)</t>
  </si>
  <si>
    <t>(20°DU)</t>
  </si>
  <si>
    <t>(ppm)</t>
  </si>
  <si>
    <t>Score</t>
  </si>
  <si>
    <t>Rank</t>
  </si>
  <si>
    <t>WMB23-23 Plot-105</t>
  </si>
  <si>
    <t>WMB23-23 Plot-512</t>
  </si>
  <si>
    <t>BS811-43</t>
  </si>
  <si>
    <t>WMB23-31 Plot-119</t>
  </si>
  <si>
    <t>WMB23-31 Plot-524</t>
  </si>
  <si>
    <t>Mean</t>
  </si>
  <si>
    <t>WMB23-32 Plot-534</t>
  </si>
  <si>
    <t>BS811-31</t>
  </si>
  <si>
    <t>WMB23-32 Plot-116</t>
  </si>
  <si>
    <t>Master23-42 Plot-7173</t>
  </si>
  <si>
    <t>WMB23-30 Plot-114</t>
  </si>
  <si>
    <t>WMB23-30 Plot-504</t>
  </si>
  <si>
    <t>Master23-39 Plot-7081</t>
  </si>
  <si>
    <t>WMB23-34 Plot-121</t>
  </si>
  <si>
    <t>WMB23-34 Plot-536</t>
  </si>
  <si>
    <t>Master23-38 Plot-7059</t>
  </si>
  <si>
    <t>WMB23-13 Plot-505</t>
  </si>
  <si>
    <t>WMB23-13 Plot 182(early)</t>
  </si>
  <si>
    <t>WMB23-13 Plot-106</t>
  </si>
  <si>
    <t>WMB23-33 Plot-126</t>
  </si>
  <si>
    <t>WMB23-33 Plot-513</t>
  </si>
  <si>
    <t>Master23-55 Plot-7385</t>
  </si>
  <si>
    <t>WMB23-14 Plot-115</t>
  </si>
  <si>
    <t>WMB23-14 Plot-532</t>
  </si>
  <si>
    <t>WMB23-14 Plot 204(early)</t>
  </si>
  <si>
    <t>Master23-24 Plot-7141</t>
  </si>
  <si>
    <t>WMB23-16 Plot-109</t>
  </si>
  <si>
    <t>WMB23-16 Plot-516</t>
  </si>
  <si>
    <t>WMB23-23 Plot 190(early)</t>
  </si>
  <si>
    <t xml:space="preserve">Total </t>
  </si>
  <si>
    <t>number</t>
  </si>
  <si>
    <t xml:space="preserve"> of tests</t>
  </si>
  <si>
    <t>Adjusted</t>
  </si>
  <si>
    <t>Craft Beer Specs</t>
  </si>
  <si>
    <t>FAN 140-190</t>
  </si>
  <si>
    <t>DP  110-150 (ASBC)</t>
  </si>
  <si>
    <t>S/T  35-45%</t>
  </si>
  <si>
    <t>Protein  8-12.5%  (10.5%)</t>
  </si>
  <si>
    <t>BG  &lt;100ppm</t>
  </si>
  <si>
    <t>AA  40-70</t>
  </si>
  <si>
    <t>Extract more is better- 80% or more </t>
  </si>
  <si>
    <t>Quality Rank</t>
  </si>
  <si>
    <t>GID</t>
  </si>
  <si>
    <t>17021-3-41</t>
  </si>
  <si>
    <t>17024-2-31</t>
  </si>
  <si>
    <t>17024-2-45</t>
  </si>
  <si>
    <t>BC Clemetine</t>
  </si>
  <si>
    <t>BC Fay</t>
  </si>
  <si>
    <t>BS613-12</t>
  </si>
  <si>
    <t>BS613-9</t>
  </si>
  <si>
    <t>BS616-78</t>
  </si>
  <si>
    <t>BS710-42</t>
  </si>
  <si>
    <t>BS713-94</t>
  </si>
  <si>
    <t>BS811-33</t>
  </si>
  <si>
    <t>BS811-34</t>
  </si>
  <si>
    <t>BS812-48</t>
  </si>
  <si>
    <t>BS812-50</t>
  </si>
  <si>
    <t>BS812-52</t>
  </si>
  <si>
    <t>BS812-57</t>
  </si>
  <si>
    <t>BS812-80</t>
  </si>
  <si>
    <t>BS813-112</t>
  </si>
  <si>
    <t>BS813-117</t>
  </si>
  <si>
    <t>BS813-98</t>
  </si>
  <si>
    <t>BS814-121</t>
  </si>
  <si>
    <t>BS814-124</t>
  </si>
  <si>
    <t>BS814-133</t>
  </si>
  <si>
    <t>BS908-14</t>
  </si>
  <si>
    <t>DH130935 (Fac)</t>
  </si>
  <si>
    <t>DH131738 (Fac)</t>
  </si>
  <si>
    <t>DH141132</t>
  </si>
  <si>
    <t>KWS Scala</t>
  </si>
  <si>
    <t>LCS Calypso</t>
  </si>
  <si>
    <t>LCS Violetta</t>
  </si>
  <si>
    <t>Location:Years tested</t>
  </si>
  <si>
    <t>Lightning</t>
  </si>
  <si>
    <t xml:space="preserve">SY Tepee </t>
  </si>
  <si>
    <t>17018-1-10</t>
  </si>
  <si>
    <t>17018-1-21</t>
  </si>
  <si>
    <t>17018-1-3</t>
  </si>
  <si>
    <t>17018-1-33</t>
  </si>
  <si>
    <t>17018-1-6</t>
  </si>
  <si>
    <t>17018-1-7</t>
  </si>
  <si>
    <t>17018-3-10</t>
  </si>
  <si>
    <t>17018-3-15</t>
  </si>
  <si>
    <t>17018-3-16</t>
  </si>
  <si>
    <t>17018-3-2</t>
  </si>
  <si>
    <t>17018-3-4</t>
  </si>
  <si>
    <t>17018-3-7</t>
  </si>
  <si>
    <t>17020-3-16</t>
  </si>
  <si>
    <t>17021-1-1</t>
  </si>
  <si>
    <t>17021-2-2</t>
  </si>
  <si>
    <t>17021-3-27</t>
  </si>
  <si>
    <t>17022-1-10</t>
  </si>
  <si>
    <t>17022-3-6</t>
  </si>
  <si>
    <t>17023-1-10</t>
  </si>
  <si>
    <t>17023-2-2</t>
  </si>
  <si>
    <t>17023-2-32</t>
  </si>
  <si>
    <t>17023-2-33</t>
  </si>
  <si>
    <t>17023-2-35</t>
  </si>
  <si>
    <t>17023-2-36</t>
  </si>
  <si>
    <t>17023-2-39</t>
  </si>
  <si>
    <t>17023-2-46</t>
  </si>
  <si>
    <t>17023-3-12</t>
  </si>
  <si>
    <t>17023-3-15</t>
  </si>
  <si>
    <t>17023-3-23</t>
  </si>
  <si>
    <t>17023-3-29</t>
  </si>
  <si>
    <t>17023-3-39</t>
  </si>
  <si>
    <t>17023-3-40</t>
  </si>
  <si>
    <t>17023-3-43</t>
  </si>
  <si>
    <t>17024-1-13</t>
  </si>
  <si>
    <t>17024-1-25</t>
  </si>
  <si>
    <t>17024-2-26</t>
  </si>
  <si>
    <t>17024-2-30</t>
  </si>
  <si>
    <t>17024-3-12</t>
  </si>
  <si>
    <t>17024-3-15</t>
  </si>
  <si>
    <t>17024-3-16</t>
  </si>
  <si>
    <t>17024-3-37</t>
  </si>
  <si>
    <t>17025-1-3</t>
  </si>
  <si>
    <t>17025-1-4</t>
  </si>
  <si>
    <t>17025-1-8</t>
  </si>
  <si>
    <t>17025-3-27</t>
  </si>
  <si>
    <t>17025-3-28</t>
  </si>
  <si>
    <t>17026-1-4</t>
  </si>
  <si>
    <t>17027-3-9</t>
  </si>
  <si>
    <t>FLAVIA</t>
  </si>
  <si>
    <t>BS614-31</t>
  </si>
  <si>
    <t>BS615-49</t>
  </si>
  <si>
    <t>BS615-57</t>
  </si>
  <si>
    <t>BS616-74</t>
  </si>
  <si>
    <t>BS710-56</t>
  </si>
  <si>
    <t>BS712-68</t>
  </si>
  <si>
    <t>BS712-74</t>
  </si>
  <si>
    <t>BS713-95</t>
  </si>
  <si>
    <t>BS811-22</t>
  </si>
  <si>
    <t>BS812-62</t>
  </si>
  <si>
    <t>BS812-82</t>
  </si>
  <si>
    <t>BS813-105</t>
  </si>
  <si>
    <t>BS813-109</t>
  </si>
  <si>
    <t>BS813-93</t>
  </si>
  <si>
    <t>BS814-140</t>
  </si>
  <si>
    <t>BS911-123</t>
  </si>
  <si>
    <t>BS911-49</t>
  </si>
  <si>
    <t>BS911-62</t>
  </si>
  <si>
    <t>BS911-72</t>
  </si>
  <si>
    <t>BS911-74</t>
  </si>
  <si>
    <t>BS911-80</t>
  </si>
  <si>
    <t>DH130910</t>
  </si>
  <si>
    <t>ENDEAVOR</t>
  </si>
  <si>
    <t>KWS SCALA</t>
  </si>
  <si>
    <t>SY TEPEE</t>
  </si>
  <si>
    <t>WINTMALT</t>
  </si>
  <si>
    <t>BLUEs based on the regionals of 2021-2023</t>
  </si>
  <si>
    <t>x</t>
  </si>
  <si>
    <t>Additive BLUP based on 2023WMBmaster MQ</t>
  </si>
  <si>
    <t>Additive + Non-additive BLUP based on 2023WMBmaster 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</si>
</sst>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2"/>
      <color theme="1"/>
      <name val="Calibri"/>
      <family val="2"/>
      <scheme val="minor"/>
    </font>
    <font>
      <sz val="10"/>
      <name val="Helvetica"/>
      <family val="2"/>
    </font>
    <font>
      <sz val="13"/>
      <color theme="1"/>
      <name val="Helvetica Neue"/>
      <family val="2"/>
    </font>
    <font>
      <sz val="11"/>
      <color rgb="FF9C0006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86"/>
      <scheme val="minor"/>
    </font>
    <font>
      <b/>
      <sz val="10"/>
      <name val="Helvetica"/>
      <family val="2"/>
      <charset val="186"/>
    </font>
    <font>
      <b/>
      <sz val="10"/>
      <name val="Helvetica"/>
      <charset val="186"/>
    </font>
    <font>
      <sz val="12"/>
      <color theme="1"/>
      <name val="Calibri"/>
      <family val="2"/>
      <charset val="186"/>
      <scheme val="minor"/>
    </font>
    <font>
      <sz val="10"/>
      <name val="Helvetica"/>
      <family val="2"/>
      <charset val="186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6" borderId="0" applyNumberFormat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1" fontId="1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2" fillId="0" borderId="0" xfId="0" applyFont="1"/>
    <xf numFmtId="1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4" fillId="0" borderId="2" xfId="0" applyFont="1" applyBorder="1"/>
    <xf numFmtId="0" fontId="0" fillId="0" borderId="3" xfId="0" applyBorder="1"/>
    <xf numFmtId="0" fontId="0" fillId="0" borderId="4" xfId="0" applyBorder="1"/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/>
    <xf numFmtId="0" fontId="7" fillId="0" borderId="2" xfId="0" applyFont="1" applyBorder="1"/>
    <xf numFmtId="0" fontId="4" fillId="0" borderId="0" xfId="0" applyFont="1"/>
    <xf numFmtId="2" fontId="8" fillId="0" borderId="2" xfId="0" applyNumberFormat="1" applyFont="1" applyBorder="1"/>
    <xf numFmtId="0" fontId="8" fillId="0" borderId="5" xfId="0" applyFont="1" applyBorder="1"/>
    <xf numFmtId="0" fontId="8" fillId="0" borderId="2" xfId="0" applyFont="1" applyBorder="1"/>
    <xf numFmtId="2" fontId="5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2" fontId="4" fillId="0" borderId="2" xfId="0" applyNumberFormat="1" applyFont="1" applyBorder="1"/>
    <xf numFmtId="0" fontId="4" fillId="0" borderId="5" xfId="0" applyFont="1" applyBorder="1"/>
    <xf numFmtId="0" fontId="9" fillId="0" borderId="2" xfId="0" applyFont="1" applyBorder="1"/>
    <xf numFmtId="2" fontId="3" fillId="6" borderId="2" xfId="1" applyNumberFormat="1" applyBorder="1"/>
    <xf numFmtId="0" fontId="3" fillId="6" borderId="0" xfId="1"/>
    <xf numFmtId="2" fontId="4" fillId="7" borderId="2" xfId="0" applyNumberFormat="1" applyFont="1" applyFill="1" applyBorder="1"/>
    <xf numFmtId="2" fontId="0" fillId="0" borderId="0" xfId="0" applyNumberFormat="1"/>
    <xf numFmtId="2" fontId="4" fillId="0" borderId="0" xfId="0" applyNumberFormat="1" applyFont="1"/>
    <xf numFmtId="2" fontId="4" fillId="4" borderId="0" xfId="0" applyNumberFormat="1" applyFont="1" applyFill="1"/>
    <xf numFmtId="0" fontId="6" fillId="0" borderId="9" xfId="0" applyFont="1" applyBorder="1" applyAlignment="1">
      <alignment horizontal="center"/>
    </xf>
    <xf numFmtId="0" fontId="4" fillId="4" borderId="0" xfId="0" applyFont="1" applyFill="1"/>
    <xf numFmtId="0" fontId="5" fillId="8" borderId="7" xfId="0" applyFont="1" applyFill="1" applyBorder="1"/>
    <xf numFmtId="0" fontId="0" fillId="0" borderId="8" xfId="0" applyBorder="1"/>
    <xf numFmtId="0" fontId="4" fillId="8" borderId="0" xfId="0" applyFont="1" applyFill="1" applyAlignment="1">
      <alignment wrapText="1"/>
    </xf>
    <xf numFmtId="0" fontId="0" fillId="8" borderId="6" xfId="0" applyFill="1" applyBorder="1" applyAlignment="1">
      <alignment wrapText="1"/>
    </xf>
    <xf numFmtId="0" fontId="0" fillId="8" borderId="0" xfId="0" applyFill="1" applyAlignment="1">
      <alignment wrapText="1"/>
    </xf>
  </cellXfs>
  <cellStyles count="2">
    <cellStyle name="Bad" xfId="1" builtinId="27"/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EE22-2F6D-DB40-BBAA-F424570F9A6C}">
  <dimension ref="A1:U56"/>
  <sheetViews>
    <sheetView workbookViewId="0">
      <selection activeCell="C60" sqref="C60"/>
    </sheetView>
  </sheetViews>
  <sheetFormatPr defaultColWidth="10.83203125" defaultRowHeight="12.5"/>
  <cols>
    <col min="1" max="1" width="22" style="1" customWidth="1"/>
    <col min="2" max="2" width="14" style="1" customWidth="1"/>
    <col min="3" max="14" width="10.83203125" style="1"/>
    <col min="15" max="15" width="7.1640625" style="1" customWidth="1"/>
    <col min="16" max="17" width="11" style="1" hidden="1" customWidth="1"/>
    <col min="18" max="19" width="10.83203125" style="1"/>
    <col min="20" max="21" width="6.6640625" style="1" customWidth="1"/>
    <col min="22" max="16384" width="10.83203125" style="1"/>
  </cols>
  <sheetData>
    <row r="1" spans="1:21">
      <c r="C1" s="2" t="s">
        <v>10</v>
      </c>
      <c r="D1" s="2" t="s">
        <v>11</v>
      </c>
      <c r="E1" s="2" t="s">
        <v>12</v>
      </c>
      <c r="F1" s="2" t="s">
        <v>13</v>
      </c>
      <c r="G1" s="2"/>
      <c r="H1" s="2"/>
      <c r="I1" s="2" t="s">
        <v>12</v>
      </c>
      <c r="J1" s="2" t="s">
        <v>14</v>
      </c>
      <c r="K1" s="2"/>
      <c r="L1" s="2"/>
      <c r="M1" s="2" t="s">
        <v>15</v>
      </c>
      <c r="N1" s="2" t="s">
        <v>16</v>
      </c>
      <c r="O1" s="2"/>
      <c r="P1" s="2" t="s">
        <v>17</v>
      </c>
      <c r="Q1" s="2" t="s">
        <v>17</v>
      </c>
      <c r="R1" s="2" t="s">
        <v>18</v>
      </c>
      <c r="S1" s="2" t="s">
        <v>18</v>
      </c>
      <c r="T1" s="1" t="s">
        <v>69</v>
      </c>
      <c r="U1" s="1" t="s">
        <v>72</v>
      </c>
    </row>
    <row r="2" spans="1:21">
      <c r="C2" s="2" t="s">
        <v>19</v>
      </c>
      <c r="D2" s="2" t="s">
        <v>20</v>
      </c>
      <c r="E2" s="2" t="s">
        <v>21</v>
      </c>
      <c r="F2" s="2" t="s">
        <v>22</v>
      </c>
      <c r="G2" s="2" t="s">
        <v>14</v>
      </c>
      <c r="H2" s="2" t="s">
        <v>14</v>
      </c>
      <c r="I2" s="2" t="s">
        <v>23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29</v>
      </c>
      <c r="S2" s="2" t="s">
        <v>30</v>
      </c>
      <c r="T2" s="1" t="s">
        <v>70</v>
      </c>
      <c r="U2" s="1" t="s">
        <v>39</v>
      </c>
    </row>
    <row r="3" spans="1:21">
      <c r="C3" s="3" t="s">
        <v>31</v>
      </c>
      <c r="D3" s="3" t="s">
        <v>32</v>
      </c>
      <c r="E3" s="3" t="s">
        <v>33</v>
      </c>
      <c r="F3" s="3" t="s">
        <v>32</v>
      </c>
      <c r="G3" s="3" t="s">
        <v>21</v>
      </c>
      <c r="H3" s="3" t="s">
        <v>34</v>
      </c>
      <c r="I3" s="3" t="s">
        <v>32</v>
      </c>
      <c r="J3" s="3" t="s">
        <v>32</v>
      </c>
      <c r="K3" s="3" t="s">
        <v>32</v>
      </c>
      <c r="L3" s="3" t="s">
        <v>35</v>
      </c>
      <c r="M3" s="3" t="s">
        <v>36</v>
      </c>
      <c r="N3" s="3" t="s">
        <v>37</v>
      </c>
      <c r="O3" s="3" t="s">
        <v>37</v>
      </c>
      <c r="P3" s="3" t="s">
        <v>38</v>
      </c>
      <c r="Q3" s="3" t="s">
        <v>39</v>
      </c>
      <c r="R3" s="3" t="s">
        <v>38</v>
      </c>
      <c r="S3" s="3" t="s">
        <v>39</v>
      </c>
      <c r="T3" s="1" t="s">
        <v>71</v>
      </c>
    </row>
    <row r="4" spans="1:21">
      <c r="A4" s="1" t="s">
        <v>0</v>
      </c>
      <c r="B4" s="1" t="s">
        <v>9</v>
      </c>
    </row>
    <row r="5" spans="1:21">
      <c r="A5" s="1" t="s">
        <v>8</v>
      </c>
      <c r="B5" s="1" t="s">
        <v>1</v>
      </c>
      <c r="C5" s="4">
        <v>43.333333333333336</v>
      </c>
      <c r="D5" s="4">
        <v>98.8</v>
      </c>
      <c r="E5" s="5">
        <v>43.82</v>
      </c>
      <c r="F5" s="5">
        <v>80.398668038995922</v>
      </c>
      <c r="G5" s="4">
        <v>1.8399999999999999</v>
      </c>
      <c r="H5" s="4">
        <v>1</v>
      </c>
      <c r="I5" s="4">
        <v>9.620000000000001</v>
      </c>
      <c r="J5" s="4">
        <v>4.5545001384394759</v>
      </c>
      <c r="K5" s="4">
        <v>51.017975708029205</v>
      </c>
      <c r="L5" s="5">
        <v>126.40790428934166</v>
      </c>
      <c r="M5" s="5">
        <v>40.030682855489637</v>
      </c>
      <c r="N5" s="5">
        <v>65.09</v>
      </c>
      <c r="O5" s="5">
        <v>129.6</v>
      </c>
      <c r="P5" s="5">
        <v>45</v>
      </c>
      <c r="Q5" s="6">
        <v>33</v>
      </c>
      <c r="R5" s="6">
        <v>32</v>
      </c>
      <c r="S5" s="6">
        <v>30</v>
      </c>
      <c r="T5" s="1">
        <v>95</v>
      </c>
      <c r="U5" s="18">
        <f>1-(S5/T5)</f>
        <v>0.68421052631578949</v>
      </c>
    </row>
    <row r="6" spans="1:21">
      <c r="A6" s="1" t="s">
        <v>40</v>
      </c>
      <c r="B6" s="17" t="s">
        <v>42</v>
      </c>
      <c r="C6" s="7">
        <v>42.766990291262132</v>
      </c>
      <c r="D6" s="7">
        <v>98.9</v>
      </c>
      <c r="E6" s="8">
        <v>46.26</v>
      </c>
      <c r="F6" s="8">
        <v>80.931859059659629</v>
      </c>
      <c r="G6" s="7">
        <v>1.74</v>
      </c>
      <c r="H6" s="7">
        <v>2</v>
      </c>
      <c r="I6" s="7">
        <v>8.91</v>
      </c>
      <c r="J6" s="7">
        <v>3.9716259777763909</v>
      </c>
      <c r="K6" s="7">
        <v>46.532032732824447</v>
      </c>
      <c r="L6" s="8">
        <v>114.22260076716464</v>
      </c>
      <c r="M6" s="8">
        <v>36.188990470819284</v>
      </c>
      <c r="N6" s="8">
        <v>73.78</v>
      </c>
      <c r="O6" s="8">
        <v>124.9</v>
      </c>
      <c r="P6" s="8">
        <v>39</v>
      </c>
      <c r="Q6" s="9">
        <v>10</v>
      </c>
      <c r="R6" s="9">
        <v>38</v>
      </c>
      <c r="S6" s="9">
        <v>9</v>
      </c>
      <c r="T6" s="1">
        <v>10</v>
      </c>
      <c r="U6" s="18">
        <f t="shared" ref="U6:U10" si="0">1-(S6/T6)</f>
        <v>9.9999999999999978E-2</v>
      </c>
    </row>
    <row r="7" spans="1:21">
      <c r="A7" s="10" t="s">
        <v>41</v>
      </c>
      <c r="B7" s="17" t="s">
        <v>42</v>
      </c>
      <c r="C7" s="11">
        <v>40.393013100436683</v>
      </c>
      <c r="D7" s="11">
        <v>99</v>
      </c>
      <c r="E7" s="12">
        <v>43.66</v>
      </c>
      <c r="F7" s="12">
        <v>81.394538118844821</v>
      </c>
      <c r="G7" s="11">
        <v>1.6</v>
      </c>
      <c r="H7" s="11">
        <v>1</v>
      </c>
      <c r="I7" s="11">
        <v>8.1756756756756754</v>
      </c>
      <c r="J7" s="11">
        <v>4.4434698480166128</v>
      </c>
      <c r="K7" s="11">
        <v>57.79001233898304</v>
      </c>
      <c r="L7" s="12">
        <v>84.465843904275715</v>
      </c>
      <c r="M7" s="12">
        <v>39.073758405064815</v>
      </c>
      <c r="N7" s="12">
        <v>25.53</v>
      </c>
      <c r="O7" s="12">
        <v>132.84</v>
      </c>
      <c r="P7" s="12">
        <v>36</v>
      </c>
      <c r="Q7" s="14">
        <v>79</v>
      </c>
      <c r="R7" s="14">
        <v>38</v>
      </c>
      <c r="S7" s="14">
        <v>68</v>
      </c>
      <c r="T7" s="1">
        <v>60</v>
      </c>
      <c r="U7" s="18">
        <f t="shared" si="0"/>
        <v>-0.1333333333333333</v>
      </c>
    </row>
    <row r="8" spans="1:21">
      <c r="A8" s="1" t="s">
        <v>43</v>
      </c>
      <c r="B8" s="17" t="s">
        <v>42</v>
      </c>
      <c r="C8" s="11">
        <v>41.772727272727273</v>
      </c>
      <c r="D8" s="11">
        <v>98.7</v>
      </c>
      <c r="E8" s="12">
        <v>47.32</v>
      </c>
      <c r="F8" s="12">
        <v>81.965452079069721</v>
      </c>
      <c r="G8" s="11">
        <v>1.56</v>
      </c>
      <c r="H8" s="11">
        <v>1</v>
      </c>
      <c r="I8" s="11">
        <v>8.2970620239390644</v>
      </c>
      <c r="J8" s="11">
        <v>4.2130815015641288</v>
      </c>
      <c r="K8" s="11">
        <v>56.213497878260874</v>
      </c>
      <c r="L8" s="12">
        <v>126.80622176974667</v>
      </c>
      <c r="M8" s="12">
        <v>45.136831629185998</v>
      </c>
      <c r="N8" s="12">
        <v>30.87</v>
      </c>
      <c r="O8" s="12">
        <v>135.4</v>
      </c>
      <c r="P8" s="12">
        <v>47</v>
      </c>
      <c r="Q8" s="12">
        <v>59</v>
      </c>
      <c r="R8" s="14">
        <v>43</v>
      </c>
      <c r="S8" s="14">
        <v>40</v>
      </c>
      <c r="T8" s="1">
        <v>60</v>
      </c>
      <c r="U8" s="18">
        <f t="shared" si="0"/>
        <v>0.33333333333333337</v>
      </c>
    </row>
    <row r="9" spans="1:21">
      <c r="A9" s="10" t="s">
        <v>44</v>
      </c>
      <c r="B9" s="17" t="s">
        <v>42</v>
      </c>
      <c r="C9" s="11">
        <v>40.796460176991154</v>
      </c>
      <c r="D9" s="11">
        <v>99.3</v>
      </c>
      <c r="E9" s="12">
        <v>42.95</v>
      </c>
      <c r="F9" s="12">
        <v>82.048717160234631</v>
      </c>
      <c r="G9" s="11">
        <v>1.35</v>
      </c>
      <c r="H9" s="11">
        <v>1</v>
      </c>
      <c r="I9" s="11">
        <v>7.5500000000000007</v>
      </c>
      <c r="J9" s="11">
        <v>4.365091592835789</v>
      </c>
      <c r="K9" s="11">
        <v>63.261578415094341</v>
      </c>
      <c r="L9" s="12">
        <v>74.979998165979993</v>
      </c>
      <c r="M9" s="12">
        <v>40.009253936871701</v>
      </c>
      <c r="N9" s="12">
        <v>33.840000000000003</v>
      </c>
      <c r="O9" s="12">
        <v>139.24</v>
      </c>
      <c r="P9" s="12">
        <v>40</v>
      </c>
      <c r="Q9" s="14">
        <v>77</v>
      </c>
      <c r="R9" s="14">
        <v>43</v>
      </c>
      <c r="S9" s="14">
        <v>40</v>
      </c>
      <c r="T9" s="1">
        <v>60</v>
      </c>
      <c r="U9" s="18">
        <f t="shared" si="0"/>
        <v>0.33333333333333337</v>
      </c>
    </row>
    <row r="10" spans="1:21">
      <c r="A10" s="1" t="s">
        <v>68</v>
      </c>
      <c r="B10" s="17" t="s">
        <v>42</v>
      </c>
      <c r="C10" s="4">
        <v>41.163310961968683</v>
      </c>
      <c r="D10" s="4">
        <v>98.6</v>
      </c>
      <c r="E10" s="5">
        <v>44.83</v>
      </c>
      <c r="F10" s="5">
        <v>81.066101538226718</v>
      </c>
      <c r="G10" s="4">
        <v>2.16</v>
      </c>
      <c r="H10" s="4">
        <v>1</v>
      </c>
      <c r="I10" s="4">
        <v>8.9</v>
      </c>
      <c r="J10" s="4">
        <v>4.3188110377358484</v>
      </c>
      <c r="K10" s="4">
        <v>52.319310857142852</v>
      </c>
      <c r="L10" s="5">
        <v>115.40389312328584</v>
      </c>
      <c r="M10" s="5">
        <v>35.725181918430408</v>
      </c>
      <c r="N10" s="5">
        <v>35.229999999999997</v>
      </c>
      <c r="O10" s="5">
        <v>117.75</v>
      </c>
      <c r="P10" s="5">
        <v>40</v>
      </c>
      <c r="Q10" s="6">
        <v>37</v>
      </c>
      <c r="R10" s="6">
        <v>38</v>
      </c>
      <c r="S10" s="6">
        <v>20</v>
      </c>
      <c r="T10" s="1">
        <v>37</v>
      </c>
      <c r="U10" s="18">
        <f t="shared" si="0"/>
        <v>0.45945945945945943</v>
      </c>
    </row>
    <row r="11" spans="1:21" s="20" customFormat="1">
      <c r="A11" s="20" t="s">
        <v>45</v>
      </c>
      <c r="B11" s="21" t="s">
        <v>42</v>
      </c>
      <c r="C11" s="7">
        <f>AVERAGE(C5:C10)</f>
        <v>41.704305856119881</v>
      </c>
      <c r="D11" s="7">
        <f>AVERAGE(D5:D10)</f>
        <v>98.883333333333326</v>
      </c>
      <c r="E11" s="8">
        <f>AVERAGE(E5:E10)</f>
        <v>44.806666666666665</v>
      </c>
      <c r="F11" s="8">
        <f>AVERAGE(F5:F10)</f>
        <v>81.300889332505236</v>
      </c>
      <c r="G11" s="7">
        <f>AVERAGE(G5:G10)</f>
        <v>1.7083333333333333</v>
      </c>
      <c r="H11" s="7">
        <f t="shared" ref="H11:R11" si="1">AVERAGE(H5:H10)</f>
        <v>1.1666666666666667</v>
      </c>
      <c r="I11" s="7">
        <f t="shared" si="1"/>
        <v>8.5754562832691228</v>
      </c>
      <c r="J11" s="7">
        <f t="shared" si="1"/>
        <v>4.3110966827280413</v>
      </c>
      <c r="K11" s="24">
        <f t="shared" si="1"/>
        <v>54.522401321722462</v>
      </c>
      <c r="L11" s="23">
        <f t="shared" si="1"/>
        <v>107.04774366996575</v>
      </c>
      <c r="M11" s="23">
        <f t="shared" si="1"/>
        <v>39.360783202643638</v>
      </c>
      <c r="N11" s="8">
        <f t="shared" si="1"/>
        <v>44.056666666666672</v>
      </c>
      <c r="O11" s="23">
        <f t="shared" si="1"/>
        <v>129.95500000000001</v>
      </c>
      <c r="P11" s="8">
        <f t="shared" si="1"/>
        <v>41.166666666666664</v>
      </c>
      <c r="Q11" s="8">
        <f t="shared" si="1"/>
        <v>49.166666666666664</v>
      </c>
      <c r="R11" s="8">
        <f t="shared" si="1"/>
        <v>38.666666666666664</v>
      </c>
      <c r="S11" s="9"/>
      <c r="T11" s="9"/>
    </row>
    <row r="12" spans="1:21">
      <c r="A12" s="10"/>
      <c r="B12" s="17"/>
      <c r="C12" s="11"/>
      <c r="D12" s="11"/>
      <c r="E12" s="12"/>
      <c r="F12" s="12"/>
      <c r="G12" s="11"/>
      <c r="H12" s="11"/>
      <c r="I12" s="11"/>
      <c r="J12" s="11"/>
      <c r="K12" s="13"/>
      <c r="L12" s="12"/>
      <c r="M12" s="12"/>
      <c r="N12" s="12"/>
      <c r="O12" s="12"/>
      <c r="P12" s="12"/>
      <c r="Q12" s="12"/>
      <c r="R12" s="14"/>
      <c r="S12" s="14"/>
      <c r="T12" s="14"/>
    </row>
    <row r="13" spans="1:21">
      <c r="A13" s="10" t="s">
        <v>46</v>
      </c>
      <c r="B13" s="17" t="s">
        <v>47</v>
      </c>
      <c r="C13" s="11">
        <v>45.594059405940591</v>
      </c>
      <c r="D13" s="11">
        <v>98.9</v>
      </c>
      <c r="E13" s="12">
        <v>42.66</v>
      </c>
      <c r="F13" s="12">
        <v>82.091830188481893</v>
      </c>
      <c r="G13" s="11">
        <v>1.5699999999999998</v>
      </c>
      <c r="H13" s="11">
        <v>1</v>
      </c>
      <c r="I13" s="11">
        <v>9.49</v>
      </c>
      <c r="J13" s="11">
        <v>4.9165772625963742</v>
      </c>
      <c r="K13" s="11">
        <v>52.746479888111885</v>
      </c>
      <c r="L13" s="12">
        <v>116.45437683384885</v>
      </c>
      <c r="M13" s="12">
        <v>53.397053254360237</v>
      </c>
      <c r="N13" s="12">
        <v>24.95</v>
      </c>
      <c r="O13" s="12">
        <v>173.26</v>
      </c>
      <c r="P13" s="12">
        <v>52</v>
      </c>
      <c r="Q13" s="14">
        <v>20</v>
      </c>
      <c r="R13" s="14">
        <v>44</v>
      </c>
      <c r="S13" s="14">
        <v>24</v>
      </c>
      <c r="T13" s="1">
        <v>60</v>
      </c>
      <c r="U13" s="18">
        <f t="shared" ref="U13:U14" si="2">1-(S13/T13)</f>
        <v>0.6</v>
      </c>
    </row>
    <row r="14" spans="1:21">
      <c r="A14" s="1" t="s">
        <v>48</v>
      </c>
      <c r="B14" s="17" t="s">
        <v>47</v>
      </c>
      <c r="C14" s="11">
        <v>45</v>
      </c>
      <c r="D14" s="11">
        <v>99.2</v>
      </c>
      <c r="E14" s="12">
        <v>45.92</v>
      </c>
      <c r="F14" s="12">
        <v>82.056398956702211</v>
      </c>
      <c r="G14" s="11">
        <v>1.71</v>
      </c>
      <c r="H14" s="11">
        <v>1</v>
      </c>
      <c r="I14" s="11">
        <v>8.3800000000000008</v>
      </c>
      <c r="J14" s="11">
        <v>4.601405443169968</v>
      </c>
      <c r="K14" s="11">
        <v>56.483172095999997</v>
      </c>
      <c r="L14" s="12">
        <v>117.47825876109793</v>
      </c>
      <c r="M14" s="12">
        <v>52.291029058268741</v>
      </c>
      <c r="N14" s="12">
        <v>43.5</v>
      </c>
      <c r="O14" s="12">
        <v>158.13999999999999</v>
      </c>
      <c r="P14" s="12">
        <v>48</v>
      </c>
      <c r="Q14" s="12">
        <v>49</v>
      </c>
      <c r="R14" s="14">
        <v>47</v>
      </c>
      <c r="S14" s="14">
        <v>15</v>
      </c>
      <c r="T14" s="1">
        <v>60</v>
      </c>
      <c r="U14" s="18">
        <f t="shared" si="2"/>
        <v>0.75</v>
      </c>
    </row>
    <row r="15" spans="1:21" s="20" customFormat="1">
      <c r="A15" s="20" t="s">
        <v>45</v>
      </c>
      <c r="B15" s="21" t="s">
        <v>47</v>
      </c>
      <c r="C15" s="7">
        <f>AVERAGE(C13:C14)</f>
        <v>45.297029702970292</v>
      </c>
      <c r="D15" s="7">
        <f>AVERAGE(D13:D14)</f>
        <v>99.050000000000011</v>
      </c>
      <c r="E15" s="8">
        <f>AVERAGE(E13:E14)</f>
        <v>44.29</v>
      </c>
      <c r="F15" s="8">
        <f>AVERAGE(F13:F14)</f>
        <v>82.074114572592052</v>
      </c>
      <c r="G15" s="7">
        <f t="shared" ref="G15:R15" si="3">AVERAGE(G13:G14)</f>
        <v>1.64</v>
      </c>
      <c r="H15" s="7">
        <f t="shared" si="3"/>
        <v>1</v>
      </c>
      <c r="I15" s="7">
        <f t="shared" si="3"/>
        <v>8.9350000000000005</v>
      </c>
      <c r="J15" s="7">
        <f t="shared" si="3"/>
        <v>4.7589913528831715</v>
      </c>
      <c r="K15" s="24">
        <f t="shared" si="3"/>
        <v>54.614825992055941</v>
      </c>
      <c r="L15" s="8">
        <f t="shared" si="3"/>
        <v>116.96631779747339</v>
      </c>
      <c r="M15" s="8">
        <f t="shared" si="3"/>
        <v>52.844041156314489</v>
      </c>
      <c r="N15" s="8">
        <f t="shared" si="3"/>
        <v>34.225000000000001</v>
      </c>
      <c r="O15" s="8">
        <f t="shared" si="3"/>
        <v>165.7</v>
      </c>
      <c r="P15" s="8">
        <f t="shared" si="3"/>
        <v>50</v>
      </c>
      <c r="Q15" s="8">
        <f t="shared" si="3"/>
        <v>34.5</v>
      </c>
      <c r="R15" s="8">
        <f t="shared" si="3"/>
        <v>45.5</v>
      </c>
      <c r="S15" s="9"/>
    </row>
    <row r="16" spans="1:21">
      <c r="A16" s="10"/>
      <c r="B16" s="17"/>
      <c r="C16" s="11"/>
      <c r="D16" s="11"/>
      <c r="E16" s="12"/>
      <c r="F16" s="12"/>
      <c r="G16" s="11"/>
      <c r="H16" s="11"/>
      <c r="I16" s="11"/>
      <c r="J16" s="11"/>
      <c r="K16" s="11"/>
      <c r="L16" s="12"/>
      <c r="M16" s="12"/>
      <c r="N16" s="12"/>
      <c r="O16" s="12"/>
      <c r="P16" s="12"/>
      <c r="Q16" s="14"/>
      <c r="R16" s="14"/>
      <c r="S16" s="14"/>
    </row>
    <row r="17" spans="1:21">
      <c r="A17" s="1" t="s">
        <v>49</v>
      </c>
      <c r="B17" s="1" t="s">
        <v>2</v>
      </c>
      <c r="C17" s="15">
        <v>45.418719211822662</v>
      </c>
      <c r="D17" s="15">
        <v>97.6</v>
      </c>
      <c r="E17" s="16">
        <v>42.28</v>
      </c>
      <c r="F17" s="16">
        <v>81.061970762588018</v>
      </c>
      <c r="G17" s="15">
        <v>1.6</v>
      </c>
      <c r="H17" s="15">
        <v>1</v>
      </c>
      <c r="I17" s="15">
        <v>9.33</v>
      </c>
      <c r="J17" s="15">
        <v>4.8620392073300653</v>
      </c>
      <c r="K17" s="15">
        <v>53.913043478260889</v>
      </c>
      <c r="L17" s="16">
        <v>115.01598124866818</v>
      </c>
      <c r="M17" s="16">
        <v>50.607031749414006</v>
      </c>
      <c r="N17" s="16">
        <v>78.7</v>
      </c>
      <c r="O17" s="16">
        <v>165</v>
      </c>
      <c r="P17" s="16">
        <v>52</v>
      </c>
      <c r="Q17" s="2">
        <v>67</v>
      </c>
      <c r="R17" s="2">
        <v>39</v>
      </c>
      <c r="S17" s="2">
        <v>105</v>
      </c>
      <c r="T17" s="1">
        <v>95</v>
      </c>
      <c r="U17" s="18">
        <f t="shared" ref="U17:U19" si="4">1-(S17/T17)</f>
        <v>-0.10526315789473695</v>
      </c>
    </row>
    <row r="18" spans="1:21">
      <c r="A18" s="1" t="s">
        <v>50</v>
      </c>
      <c r="B18" s="1" t="s">
        <v>2</v>
      </c>
      <c r="C18" s="11">
        <v>44.268585131894483</v>
      </c>
      <c r="D18" s="11">
        <v>97.6</v>
      </c>
      <c r="E18" s="12">
        <v>48.97</v>
      </c>
      <c r="F18" s="12">
        <v>82.299011852470827</v>
      </c>
      <c r="G18" s="11">
        <v>1.62</v>
      </c>
      <c r="H18" s="11">
        <v>1</v>
      </c>
      <c r="I18" s="11">
        <v>8.2500000000000018</v>
      </c>
      <c r="J18" s="11">
        <v>4.7308467570385817</v>
      </c>
      <c r="K18" s="11">
        <v>59.500092327868856</v>
      </c>
      <c r="L18" s="12">
        <v>124.10246437593544</v>
      </c>
      <c r="M18" s="12">
        <v>52.75259018272569</v>
      </c>
      <c r="N18" s="12">
        <v>17.38</v>
      </c>
      <c r="O18" s="12">
        <v>177.7</v>
      </c>
      <c r="P18" s="12">
        <v>51</v>
      </c>
      <c r="Q18" s="12">
        <v>30</v>
      </c>
      <c r="R18" s="14">
        <v>41</v>
      </c>
      <c r="S18" s="14">
        <v>47</v>
      </c>
      <c r="T18" s="1">
        <v>60</v>
      </c>
      <c r="U18" s="18">
        <f t="shared" si="4"/>
        <v>0.21666666666666667</v>
      </c>
    </row>
    <row r="19" spans="1:21">
      <c r="A19" s="1" t="s">
        <v>51</v>
      </c>
      <c r="B19" s="1" t="s">
        <v>2</v>
      </c>
      <c r="C19" s="11">
        <v>45.036674816625919</v>
      </c>
      <c r="D19" s="11">
        <v>99.1</v>
      </c>
      <c r="E19" s="12">
        <v>46.56</v>
      </c>
      <c r="F19" s="12">
        <v>82.616227397967137</v>
      </c>
      <c r="G19" s="11">
        <v>1.69</v>
      </c>
      <c r="H19" s="11">
        <v>1</v>
      </c>
      <c r="I19" s="11">
        <v>8.34</v>
      </c>
      <c r="J19" s="11">
        <v>4.4172722572780083</v>
      </c>
      <c r="K19" s="11">
        <v>58.162689641025644</v>
      </c>
      <c r="L19" s="12">
        <v>84.872158628298365</v>
      </c>
      <c r="M19" s="12">
        <v>47.473933917151747</v>
      </c>
      <c r="N19" s="12">
        <v>29.88</v>
      </c>
      <c r="O19" s="12">
        <v>145.78</v>
      </c>
      <c r="P19" s="12">
        <v>41</v>
      </c>
      <c r="Q19" s="12">
        <v>75</v>
      </c>
      <c r="R19" s="14">
        <v>44</v>
      </c>
      <c r="S19" s="14">
        <v>24</v>
      </c>
      <c r="T19" s="1">
        <v>60</v>
      </c>
      <c r="U19" s="18">
        <f t="shared" si="4"/>
        <v>0.6</v>
      </c>
    </row>
    <row r="20" spans="1:21" s="20" customFormat="1">
      <c r="A20" s="20" t="s">
        <v>45</v>
      </c>
      <c r="B20" s="20" t="s">
        <v>2</v>
      </c>
      <c r="C20" s="7">
        <f>AVERAGE(C17:C19)</f>
        <v>44.907993053447683</v>
      </c>
      <c r="D20" s="7">
        <f>AVERAGE(D17:D19)</f>
        <v>98.09999999999998</v>
      </c>
      <c r="E20" s="8">
        <f>AVERAGE(E17:E19)</f>
        <v>45.936666666666667</v>
      </c>
      <c r="F20" s="8">
        <f>AVERAGE(F17:F19)</f>
        <v>81.992403337675327</v>
      </c>
      <c r="G20" s="7">
        <f t="shared" ref="G20:R20" si="5">AVERAGE(G17:G19)</f>
        <v>1.6366666666666667</v>
      </c>
      <c r="H20" s="7">
        <f t="shared" si="5"/>
        <v>1</v>
      </c>
      <c r="I20" s="7">
        <f t="shared" si="5"/>
        <v>8.64</v>
      </c>
      <c r="J20" s="7">
        <f t="shared" si="5"/>
        <v>4.6700527405488854</v>
      </c>
      <c r="K20" s="7">
        <f t="shared" si="5"/>
        <v>57.191941815718458</v>
      </c>
      <c r="L20" s="23">
        <f t="shared" si="5"/>
        <v>107.99686808430067</v>
      </c>
      <c r="M20" s="8">
        <f t="shared" si="5"/>
        <v>50.277851949763821</v>
      </c>
      <c r="N20" s="8">
        <f t="shared" si="5"/>
        <v>41.986666666666665</v>
      </c>
      <c r="O20" s="8">
        <f t="shared" si="5"/>
        <v>162.82666666666668</v>
      </c>
      <c r="P20" s="8">
        <f t="shared" si="5"/>
        <v>48</v>
      </c>
      <c r="Q20" s="8">
        <f t="shared" si="5"/>
        <v>57.333333333333336</v>
      </c>
      <c r="R20" s="8">
        <f t="shared" si="5"/>
        <v>41.333333333333336</v>
      </c>
    </row>
    <row r="21" spans="1:21">
      <c r="C21" s="18"/>
      <c r="D21" s="18"/>
      <c r="E21" s="19"/>
      <c r="F21" s="19"/>
      <c r="H21" s="18"/>
      <c r="I21" s="18"/>
      <c r="J21" s="18"/>
      <c r="L21" s="19"/>
      <c r="M21" s="19"/>
      <c r="N21" s="19"/>
      <c r="O21" s="19"/>
    </row>
    <row r="22" spans="1:21">
      <c r="A22" s="10" t="s">
        <v>52</v>
      </c>
      <c r="B22" s="1" t="s">
        <v>3</v>
      </c>
      <c r="C22" s="11">
        <v>44.589371980676326</v>
      </c>
      <c r="D22" s="11">
        <v>99.1</v>
      </c>
      <c r="E22" s="12">
        <v>41.66</v>
      </c>
      <c r="F22" s="12">
        <v>82.260695910935354</v>
      </c>
      <c r="G22" s="11">
        <v>1.4</v>
      </c>
      <c r="H22" s="11">
        <v>1</v>
      </c>
      <c r="I22" s="11">
        <v>8.3965330444203694</v>
      </c>
      <c r="J22" s="11">
        <v>5.4040327014472682</v>
      </c>
      <c r="K22" s="11">
        <v>68.15925896393442</v>
      </c>
      <c r="L22" s="12">
        <v>120.54816165879505</v>
      </c>
      <c r="M22" s="12">
        <v>51.382683901947715</v>
      </c>
      <c r="N22" s="12">
        <v>70</v>
      </c>
      <c r="O22" s="12">
        <v>164.47</v>
      </c>
      <c r="P22" s="12">
        <v>55</v>
      </c>
      <c r="Q22" s="14">
        <v>5</v>
      </c>
      <c r="R22" s="14">
        <v>41</v>
      </c>
      <c r="S22" s="14">
        <v>47</v>
      </c>
      <c r="T22" s="1">
        <v>95</v>
      </c>
      <c r="U22" s="18">
        <f t="shared" ref="U22:U24" si="6">1-(S22/T22)</f>
        <v>0.50526315789473686</v>
      </c>
    </row>
    <row r="23" spans="1:21">
      <c r="A23" s="1" t="s">
        <v>53</v>
      </c>
      <c r="B23" s="1" t="s">
        <v>3</v>
      </c>
      <c r="C23" s="11">
        <v>45.369458128078819</v>
      </c>
      <c r="D23" s="11">
        <v>98.7</v>
      </c>
      <c r="E23" s="12">
        <v>46.65</v>
      </c>
      <c r="F23" s="12">
        <v>82.511403065726185</v>
      </c>
      <c r="G23" s="11">
        <v>1.62</v>
      </c>
      <c r="H23" s="11">
        <v>1</v>
      </c>
      <c r="I23" s="11">
        <v>8.4147665580890347</v>
      </c>
      <c r="J23" s="11">
        <v>4.6661261001042762</v>
      </c>
      <c r="K23" s="11">
        <v>58.20897469918701</v>
      </c>
      <c r="L23" s="12">
        <v>128.29328833634284</v>
      </c>
      <c r="M23" s="12">
        <v>56.945103729876323</v>
      </c>
      <c r="N23" s="12">
        <v>23.31</v>
      </c>
      <c r="O23" s="12">
        <v>159.4</v>
      </c>
      <c r="P23" s="12">
        <v>51</v>
      </c>
      <c r="Q23" s="12">
        <v>30</v>
      </c>
      <c r="R23" s="14">
        <v>44</v>
      </c>
      <c r="S23" s="14">
        <v>24</v>
      </c>
      <c r="T23" s="1">
        <v>60</v>
      </c>
      <c r="U23" s="18">
        <f t="shared" si="6"/>
        <v>0.6</v>
      </c>
    </row>
    <row r="24" spans="1:21">
      <c r="A24" s="10" t="s">
        <v>54</v>
      </c>
      <c r="B24" s="1" t="s">
        <v>3</v>
      </c>
      <c r="C24" s="11">
        <v>43.13084112149533</v>
      </c>
      <c r="D24" s="11">
        <v>98.9</v>
      </c>
      <c r="E24" s="12">
        <v>45.31</v>
      </c>
      <c r="F24" s="12">
        <v>82.615829277937706</v>
      </c>
      <c r="G24" s="11">
        <v>1.73</v>
      </c>
      <c r="H24" s="11">
        <v>1</v>
      </c>
      <c r="I24" s="11">
        <v>7.8999999999999995</v>
      </c>
      <c r="J24" s="11">
        <v>5.1708613804878025</v>
      </c>
      <c r="K24" s="11">
        <v>66.079579199999998</v>
      </c>
      <c r="L24" s="12">
        <v>95.024157787558792</v>
      </c>
      <c r="M24" s="12">
        <v>52.648032304717198</v>
      </c>
      <c r="N24" s="12">
        <v>61.67</v>
      </c>
      <c r="O24" s="12">
        <v>153.82</v>
      </c>
      <c r="P24" s="12">
        <v>48</v>
      </c>
      <c r="Q24" s="14">
        <v>49</v>
      </c>
      <c r="R24" s="14">
        <v>44</v>
      </c>
      <c r="S24" s="14">
        <v>24</v>
      </c>
      <c r="T24" s="1">
        <v>60</v>
      </c>
      <c r="U24" s="18">
        <f t="shared" si="6"/>
        <v>0.6</v>
      </c>
    </row>
    <row r="25" spans="1:21" s="20" customFormat="1">
      <c r="A25" s="20" t="s">
        <v>45</v>
      </c>
      <c r="B25" s="20" t="s">
        <v>3</v>
      </c>
      <c r="C25" s="7">
        <f>AVERAGE(C22:C24)</f>
        <v>44.363223743416825</v>
      </c>
      <c r="D25" s="7">
        <f>AVERAGE(D22:D24)</f>
        <v>98.90000000000002</v>
      </c>
      <c r="E25" s="8">
        <f>AVERAGE(E22:E24)</f>
        <v>44.54</v>
      </c>
      <c r="F25" s="8">
        <f>AVERAGE(F22:F24)</f>
        <v>82.462642751533082</v>
      </c>
      <c r="G25" s="7">
        <f t="shared" ref="G25" si="7">AVERAGE(G22:G24)</f>
        <v>1.5833333333333333</v>
      </c>
      <c r="H25" s="7">
        <f t="shared" ref="H25" si="8">AVERAGE(H22:H24)</f>
        <v>1</v>
      </c>
      <c r="I25" s="7">
        <f t="shared" ref="I25" si="9">AVERAGE(I22:I24)</f>
        <v>8.2370998675031348</v>
      </c>
      <c r="J25" s="7">
        <f t="shared" ref="J25" si="10">AVERAGE(J22:J24)</f>
        <v>5.0803400606797817</v>
      </c>
      <c r="K25" s="7">
        <f t="shared" ref="K25" si="11">AVERAGE(K22:K24)</f>
        <v>64.149270954373819</v>
      </c>
      <c r="L25" s="8">
        <f t="shared" ref="L25" si="12">AVERAGE(L22:L24)</f>
        <v>114.6218692608989</v>
      </c>
      <c r="M25" s="8">
        <f t="shared" ref="M25" si="13">AVERAGE(M22:M24)</f>
        <v>53.658606645513743</v>
      </c>
      <c r="N25" s="8">
        <f t="shared" ref="N25" si="14">AVERAGE(N22:N24)</f>
        <v>51.660000000000004</v>
      </c>
      <c r="O25" s="8">
        <f t="shared" ref="O25" si="15">AVERAGE(O22:O24)</f>
        <v>159.22999999999999</v>
      </c>
      <c r="P25" s="8">
        <f t="shared" ref="P25" si="16">AVERAGE(P22:P24)</f>
        <v>51.333333333333336</v>
      </c>
      <c r="Q25" s="8">
        <f t="shared" ref="Q25" si="17">AVERAGE(Q22:Q24)</f>
        <v>28</v>
      </c>
      <c r="R25" s="8">
        <f t="shared" ref="R25" si="18">AVERAGE(R22:R24)</f>
        <v>43</v>
      </c>
    </row>
    <row r="26" spans="1:21">
      <c r="C26" s="18"/>
      <c r="D26" s="18"/>
      <c r="E26" s="19"/>
      <c r="F26" s="19"/>
      <c r="H26" s="18"/>
      <c r="I26" s="18"/>
      <c r="J26" s="18"/>
      <c r="L26" s="19"/>
      <c r="M26" s="19"/>
      <c r="N26" s="19"/>
      <c r="O26" s="19"/>
    </row>
    <row r="27" spans="1:21">
      <c r="A27" s="10" t="s">
        <v>55</v>
      </c>
      <c r="B27" s="1" t="s">
        <v>4</v>
      </c>
      <c r="C27" s="11">
        <v>42.763466042154569</v>
      </c>
      <c r="D27" s="11">
        <v>97.9</v>
      </c>
      <c r="E27" s="12">
        <v>41.04</v>
      </c>
      <c r="F27" s="12">
        <v>81.893454431961416</v>
      </c>
      <c r="G27" s="11">
        <v>1.55</v>
      </c>
      <c r="H27" s="11">
        <v>1</v>
      </c>
      <c r="I27" s="11">
        <v>9.44</v>
      </c>
      <c r="J27" s="11">
        <v>5.2974115342910677</v>
      </c>
      <c r="K27" s="11">
        <v>59.122560000000014</v>
      </c>
      <c r="L27" s="12">
        <v>118.70392245402211</v>
      </c>
      <c r="M27" s="12">
        <v>48.786774535117878</v>
      </c>
      <c r="N27" s="12">
        <v>135</v>
      </c>
      <c r="O27" s="12">
        <v>155.81</v>
      </c>
      <c r="P27" s="12">
        <v>45</v>
      </c>
      <c r="Q27" s="14">
        <v>61</v>
      </c>
      <c r="R27" s="14">
        <v>40</v>
      </c>
      <c r="S27" s="14">
        <v>60</v>
      </c>
      <c r="T27" s="1">
        <v>95</v>
      </c>
      <c r="U27" s="18">
        <f t="shared" ref="U27:U30" si="19">1-(S27/T27)</f>
        <v>0.36842105263157898</v>
      </c>
    </row>
    <row r="28" spans="1:21">
      <c r="A28" s="1" t="s">
        <v>56</v>
      </c>
      <c r="B28" s="1" t="s">
        <v>4</v>
      </c>
      <c r="C28" s="11">
        <v>42.38532110091743</v>
      </c>
      <c r="D28" s="11">
        <v>99.1</v>
      </c>
      <c r="E28" s="12">
        <v>43.86</v>
      </c>
      <c r="F28" s="12">
        <v>83.051376466783026</v>
      </c>
      <c r="G28" s="11">
        <v>1.67</v>
      </c>
      <c r="H28" s="11">
        <v>1</v>
      </c>
      <c r="I28" s="11">
        <v>8.34</v>
      </c>
      <c r="J28" s="11">
        <v>4.450313967764659</v>
      </c>
      <c r="K28" s="11">
        <v>56.244112786885246</v>
      </c>
      <c r="L28" s="12">
        <v>86.467625567090096</v>
      </c>
      <c r="M28" s="12">
        <v>52.676683900382862</v>
      </c>
      <c r="N28" s="12">
        <v>14.93</v>
      </c>
      <c r="O28" s="12">
        <v>136.04</v>
      </c>
      <c r="P28" s="12">
        <v>44</v>
      </c>
      <c r="Q28" s="12">
        <v>65</v>
      </c>
      <c r="R28" s="14">
        <v>44</v>
      </c>
      <c r="S28" s="14">
        <v>24</v>
      </c>
      <c r="T28" s="1">
        <v>60</v>
      </c>
      <c r="U28" s="18">
        <f t="shared" si="19"/>
        <v>0.6</v>
      </c>
    </row>
    <row r="29" spans="1:21">
      <c r="A29" s="1" t="s">
        <v>57</v>
      </c>
      <c r="B29" s="1" t="s">
        <v>4</v>
      </c>
      <c r="C29" s="4">
        <v>44.866180048661803</v>
      </c>
      <c r="D29" s="4">
        <v>98.8</v>
      </c>
      <c r="E29" s="5">
        <v>42.38</v>
      </c>
      <c r="F29" s="5">
        <v>81.553797857649457</v>
      </c>
      <c r="G29" s="4">
        <v>3.11</v>
      </c>
      <c r="H29" s="4">
        <v>1</v>
      </c>
      <c r="I29" s="4">
        <v>8.61</v>
      </c>
      <c r="J29" s="4">
        <v>4.7269548096405289</v>
      </c>
      <c r="K29" s="4">
        <v>55.729419200000002</v>
      </c>
      <c r="L29" s="5">
        <v>108.13583991206886</v>
      </c>
      <c r="M29" s="5">
        <v>47.052645417166119</v>
      </c>
      <c r="N29" s="5">
        <v>35.69</v>
      </c>
      <c r="O29" s="5">
        <v>156.19999999999999</v>
      </c>
      <c r="P29" s="5">
        <v>45</v>
      </c>
      <c r="Q29" s="6">
        <v>33</v>
      </c>
      <c r="R29" s="6">
        <v>48</v>
      </c>
      <c r="S29" s="6">
        <v>3</v>
      </c>
      <c r="T29" s="1">
        <v>37</v>
      </c>
      <c r="U29" s="18">
        <f t="shared" si="19"/>
        <v>0.91891891891891886</v>
      </c>
    </row>
    <row r="30" spans="1:21">
      <c r="A30" s="1" t="s">
        <v>58</v>
      </c>
      <c r="B30" s="1" t="s">
        <v>4</v>
      </c>
      <c r="C30" s="7">
        <v>44.634760705289672</v>
      </c>
      <c r="D30" s="7">
        <v>98.1</v>
      </c>
      <c r="E30" s="8">
        <v>43.93</v>
      </c>
      <c r="F30" s="8">
        <v>81.634868286749182</v>
      </c>
      <c r="G30" s="7">
        <v>1.67</v>
      </c>
      <c r="H30" s="7">
        <v>2</v>
      </c>
      <c r="I30" s="7">
        <v>8.8800000000000026</v>
      </c>
      <c r="J30" s="7">
        <v>4.2994919174731621</v>
      </c>
      <c r="K30" s="7">
        <v>51.212557643410847</v>
      </c>
      <c r="L30" s="8">
        <v>112.18696087606439</v>
      </c>
      <c r="M30" s="8">
        <v>44.655964678737838</v>
      </c>
      <c r="N30" s="8">
        <v>82.96</v>
      </c>
      <c r="O30" s="8">
        <v>156.25</v>
      </c>
      <c r="P30" s="8">
        <v>44</v>
      </c>
      <c r="Q30" s="9">
        <v>9</v>
      </c>
      <c r="R30" s="9">
        <v>54</v>
      </c>
      <c r="S30" s="9">
        <v>1</v>
      </c>
      <c r="T30" s="1">
        <v>10</v>
      </c>
      <c r="U30" s="18">
        <f t="shared" si="19"/>
        <v>0.9</v>
      </c>
    </row>
    <row r="31" spans="1:21" s="20" customFormat="1">
      <c r="A31" s="20" t="s">
        <v>45</v>
      </c>
      <c r="B31" s="20" t="s">
        <v>4</v>
      </c>
      <c r="C31" s="7">
        <f>AVERAGE(C27:C30)</f>
        <v>43.662431974255867</v>
      </c>
      <c r="D31" s="7">
        <f>AVERAGE(D27:D30)</f>
        <v>98.474999999999994</v>
      </c>
      <c r="E31" s="8">
        <f>AVERAGE(E27:E30)</f>
        <v>42.802500000000002</v>
      </c>
      <c r="F31" s="8">
        <f>AVERAGE(F27:F30)</f>
        <v>82.033374260785763</v>
      </c>
      <c r="G31" s="7">
        <f t="shared" ref="G31:R31" si="20">AVERAGE(G27:G30)</f>
        <v>2</v>
      </c>
      <c r="H31" s="7">
        <f t="shared" si="20"/>
        <v>1.25</v>
      </c>
      <c r="I31" s="7">
        <f t="shared" si="20"/>
        <v>8.8175000000000008</v>
      </c>
      <c r="J31" s="7">
        <f t="shared" si="20"/>
        <v>4.693543057292354</v>
      </c>
      <c r="K31" s="7">
        <f t="shared" si="20"/>
        <v>55.577162407574022</v>
      </c>
      <c r="L31" s="23">
        <f t="shared" si="20"/>
        <v>106.37358720231137</v>
      </c>
      <c r="M31" s="8">
        <f t="shared" si="20"/>
        <v>48.293017132851169</v>
      </c>
      <c r="N31" s="8">
        <f t="shared" si="20"/>
        <v>67.144999999999996</v>
      </c>
      <c r="O31" s="8">
        <f t="shared" si="20"/>
        <v>151.07499999999999</v>
      </c>
      <c r="P31" s="8">
        <f t="shared" si="20"/>
        <v>44.5</v>
      </c>
      <c r="Q31" s="8">
        <f t="shared" si="20"/>
        <v>42</v>
      </c>
      <c r="R31" s="8">
        <f t="shared" si="20"/>
        <v>46.5</v>
      </c>
    </row>
    <row r="32" spans="1:21">
      <c r="C32" s="18"/>
      <c r="D32" s="18"/>
      <c r="E32" s="19"/>
      <c r="F32" s="19"/>
      <c r="H32" s="18"/>
      <c r="I32" s="18"/>
      <c r="J32" s="18"/>
      <c r="L32" s="19"/>
      <c r="M32" s="19"/>
      <c r="N32" s="19"/>
      <c r="O32" s="19"/>
    </row>
    <row r="33" spans="1:21">
      <c r="A33" s="1" t="s">
        <v>59</v>
      </c>
      <c r="B33" s="1" t="s">
        <v>5</v>
      </c>
      <c r="C33" s="11">
        <v>44.172661870503596</v>
      </c>
      <c r="D33" s="11">
        <v>98.9</v>
      </c>
      <c r="E33" s="12">
        <v>43.79</v>
      </c>
      <c r="F33" s="12">
        <v>81.166128885173052</v>
      </c>
      <c r="G33" s="11">
        <v>1.73</v>
      </c>
      <c r="H33" s="11">
        <v>1</v>
      </c>
      <c r="I33" s="11">
        <v>9.86</v>
      </c>
      <c r="J33" s="11">
        <v>4.7806124220374224</v>
      </c>
      <c r="K33" s="11">
        <v>53.710355036496352</v>
      </c>
      <c r="L33" s="12">
        <v>130.45381773903631</v>
      </c>
      <c r="M33" s="12">
        <v>52.134335597157573</v>
      </c>
      <c r="N33" s="12">
        <v>53.26</v>
      </c>
      <c r="O33" s="12">
        <v>166.62</v>
      </c>
      <c r="P33" s="12">
        <v>51</v>
      </c>
      <c r="Q33" s="12">
        <v>30</v>
      </c>
      <c r="R33" s="14">
        <v>41</v>
      </c>
      <c r="S33" s="14">
        <v>47</v>
      </c>
      <c r="T33" s="1">
        <v>60</v>
      </c>
      <c r="U33" s="18">
        <f t="shared" ref="U33:U34" si="21">1-(S33/T33)</f>
        <v>0.21666666666666667</v>
      </c>
    </row>
    <row r="34" spans="1:21">
      <c r="A34" s="10" t="s">
        <v>60</v>
      </c>
      <c r="B34" s="1" t="s">
        <v>5</v>
      </c>
      <c r="C34" s="11">
        <v>45.061425061425062</v>
      </c>
      <c r="D34" s="11">
        <v>98.9</v>
      </c>
      <c r="E34" s="12">
        <v>46.34</v>
      </c>
      <c r="F34" s="12">
        <v>81.892013186092299</v>
      </c>
      <c r="G34" s="11">
        <v>1.42</v>
      </c>
      <c r="H34" s="11">
        <v>1</v>
      </c>
      <c r="I34" s="11">
        <v>8.99</v>
      </c>
      <c r="J34" s="11">
        <v>4.9188994301160882</v>
      </c>
      <c r="K34" s="11">
        <v>61.438482861788607</v>
      </c>
      <c r="L34" s="12">
        <v>124.86759175661193</v>
      </c>
      <c r="M34" s="12">
        <v>48.400448449619368</v>
      </c>
      <c r="N34" s="12">
        <v>33.75</v>
      </c>
      <c r="O34" s="12">
        <v>151.1</v>
      </c>
      <c r="P34" s="12">
        <v>52</v>
      </c>
      <c r="Q34" s="14">
        <v>20</v>
      </c>
      <c r="R34" s="14">
        <v>41</v>
      </c>
      <c r="S34" s="14">
        <v>47</v>
      </c>
      <c r="T34" s="1">
        <v>60</v>
      </c>
      <c r="U34" s="18">
        <f t="shared" si="21"/>
        <v>0.21666666666666667</v>
      </c>
    </row>
    <row r="35" spans="1:21" s="20" customFormat="1">
      <c r="A35" s="20" t="s">
        <v>45</v>
      </c>
      <c r="B35" s="20" t="s">
        <v>5</v>
      </c>
      <c r="C35" s="7">
        <f>AVERAGE(C33:C34)</f>
        <v>44.617043465964329</v>
      </c>
      <c r="D35" s="7">
        <f>AVERAGE(D33:D34)</f>
        <v>98.9</v>
      </c>
      <c r="E35" s="8">
        <f>AVERAGE(E33:E34)</f>
        <v>45.064999999999998</v>
      </c>
      <c r="F35" s="8">
        <f>AVERAGE(F33:F34)</f>
        <v>81.529071035632683</v>
      </c>
      <c r="G35" s="7">
        <f t="shared" ref="G35" si="22">AVERAGE(G33:G34)</f>
        <v>1.575</v>
      </c>
      <c r="H35" s="7">
        <f t="shared" ref="H35" si="23">AVERAGE(H33:H34)</f>
        <v>1</v>
      </c>
      <c r="I35" s="7">
        <f t="shared" ref="I35" si="24">AVERAGE(I33:I34)</f>
        <v>9.4250000000000007</v>
      </c>
      <c r="J35" s="7">
        <f t="shared" ref="J35" si="25">AVERAGE(J33:J34)</f>
        <v>4.8497559260767549</v>
      </c>
      <c r="K35" s="24">
        <f t="shared" ref="K35" si="26">AVERAGE(K33:K34)</f>
        <v>57.574418949142483</v>
      </c>
      <c r="L35" s="8">
        <f t="shared" ref="L35" si="27">AVERAGE(L33:L34)</f>
        <v>127.66070474782413</v>
      </c>
      <c r="M35" s="8">
        <f t="shared" ref="M35" si="28">AVERAGE(M33:M34)</f>
        <v>50.267392023388467</v>
      </c>
      <c r="N35" s="8">
        <f t="shared" ref="N35" si="29">AVERAGE(N33:N34)</f>
        <v>43.504999999999995</v>
      </c>
      <c r="O35" s="8">
        <f t="shared" ref="O35" si="30">AVERAGE(O33:O34)</f>
        <v>158.86000000000001</v>
      </c>
      <c r="P35" s="8">
        <f t="shared" ref="P35" si="31">AVERAGE(P33:P34)</f>
        <v>51.5</v>
      </c>
      <c r="Q35" s="8">
        <f t="shared" ref="Q35" si="32">AVERAGE(Q33:Q34)</f>
        <v>25</v>
      </c>
      <c r="R35" s="8">
        <f t="shared" ref="R35" si="33">AVERAGE(R33:R34)</f>
        <v>41</v>
      </c>
    </row>
    <row r="36" spans="1:21">
      <c r="C36" s="18"/>
      <c r="D36" s="18"/>
      <c r="E36" s="19"/>
      <c r="F36" s="19"/>
      <c r="H36" s="18"/>
      <c r="I36" s="18"/>
      <c r="J36" s="18"/>
      <c r="L36" s="19"/>
      <c r="M36" s="19"/>
      <c r="N36" s="19"/>
      <c r="O36" s="19"/>
    </row>
    <row r="37" spans="1:21">
      <c r="A37" s="1" t="s">
        <v>61</v>
      </c>
      <c r="B37" s="1" t="s">
        <v>6</v>
      </c>
      <c r="C37" s="4">
        <v>44.705882352941174</v>
      </c>
      <c r="D37" s="4">
        <v>98</v>
      </c>
      <c r="E37" s="5">
        <v>37.33</v>
      </c>
      <c r="F37" s="5">
        <v>81.323522181544291</v>
      </c>
      <c r="G37" s="4">
        <v>2.12</v>
      </c>
      <c r="H37" s="4">
        <v>1</v>
      </c>
      <c r="I37" s="4">
        <v>8.7899999999999991</v>
      </c>
      <c r="J37" s="4">
        <v>4.8751098842452452</v>
      </c>
      <c r="K37" s="4">
        <v>56.49716678787879</v>
      </c>
      <c r="L37" s="5">
        <v>135.18446342504058</v>
      </c>
      <c r="M37" s="5">
        <v>56.365970159199072</v>
      </c>
      <c r="N37" s="5">
        <v>26.77</v>
      </c>
      <c r="O37" s="5">
        <v>129.1</v>
      </c>
      <c r="P37" s="5">
        <v>55</v>
      </c>
      <c r="Q37" s="6">
        <v>4</v>
      </c>
      <c r="R37" s="6">
        <v>29</v>
      </c>
      <c r="S37" s="6">
        <v>33</v>
      </c>
      <c r="T37" s="1">
        <v>95</v>
      </c>
      <c r="U37" s="18">
        <f t="shared" ref="U37:U40" si="34">1-(S37/T37)</f>
        <v>0.65263157894736845</v>
      </c>
    </row>
    <row r="38" spans="1:21">
      <c r="A38" s="1" t="s">
        <v>62</v>
      </c>
      <c r="B38" s="1" t="s">
        <v>6</v>
      </c>
      <c r="C38" s="11">
        <v>45.320197044334975</v>
      </c>
      <c r="D38" s="11">
        <v>98.5</v>
      </c>
      <c r="E38" s="12">
        <v>44.98</v>
      </c>
      <c r="F38" s="12">
        <v>82.394994672846906</v>
      </c>
      <c r="G38" s="11">
        <v>1.6800000000000002</v>
      </c>
      <c r="H38" s="11">
        <v>1</v>
      </c>
      <c r="I38" s="11">
        <v>9.08</v>
      </c>
      <c r="J38" s="11">
        <v>4.6705017291666673</v>
      </c>
      <c r="K38" s="11">
        <v>52.749196000000012</v>
      </c>
      <c r="L38" s="12">
        <v>122.06175582056646</v>
      </c>
      <c r="M38" s="12">
        <v>57.183566960994966</v>
      </c>
      <c r="N38" s="12">
        <v>18.3</v>
      </c>
      <c r="O38" s="12">
        <v>160.74</v>
      </c>
      <c r="P38" s="12">
        <v>51</v>
      </c>
      <c r="Q38" s="12">
        <v>30</v>
      </c>
      <c r="R38" s="14">
        <v>44</v>
      </c>
      <c r="S38" s="14">
        <v>24</v>
      </c>
      <c r="T38" s="1">
        <v>60</v>
      </c>
      <c r="U38" s="18">
        <f t="shared" si="34"/>
        <v>0.6</v>
      </c>
    </row>
    <row r="39" spans="1:21">
      <c r="A39" s="10" t="s">
        <v>63</v>
      </c>
      <c r="B39" s="1" t="s">
        <v>6</v>
      </c>
      <c r="C39" s="11">
        <v>43.942992874109265</v>
      </c>
      <c r="D39" s="11">
        <v>99.2</v>
      </c>
      <c r="E39" s="12">
        <v>43.13</v>
      </c>
      <c r="F39" s="12">
        <v>82.941263105228998</v>
      </c>
      <c r="G39" s="11">
        <v>1.56</v>
      </c>
      <c r="H39" s="11">
        <v>1</v>
      </c>
      <c r="I39" s="11">
        <v>7.61</v>
      </c>
      <c r="J39" s="11">
        <v>4.6004255223795614</v>
      </c>
      <c r="K39" s="11">
        <v>67.752016769230778</v>
      </c>
      <c r="L39" s="12">
        <v>90.258413445910591</v>
      </c>
      <c r="M39" s="12">
        <v>56.848233768552099</v>
      </c>
      <c r="N39" s="12">
        <v>29.63</v>
      </c>
      <c r="O39" s="12">
        <v>154.83000000000001</v>
      </c>
      <c r="P39" s="12">
        <v>44</v>
      </c>
      <c r="Q39" s="14">
        <v>65</v>
      </c>
      <c r="R39" s="14">
        <v>44</v>
      </c>
      <c r="S39" s="14">
        <v>24</v>
      </c>
      <c r="T39" s="1">
        <v>60</v>
      </c>
      <c r="U39" s="18">
        <f t="shared" si="34"/>
        <v>0.6</v>
      </c>
    </row>
    <row r="40" spans="1:21">
      <c r="A40" s="1" t="s">
        <v>64</v>
      </c>
      <c r="B40" s="1" t="s">
        <v>6</v>
      </c>
      <c r="C40" s="4">
        <v>46</v>
      </c>
      <c r="D40" s="4">
        <v>98</v>
      </c>
      <c r="E40" s="5">
        <v>43.78</v>
      </c>
      <c r="F40" s="5">
        <v>81.791744277130135</v>
      </c>
      <c r="G40" s="4">
        <v>2.66</v>
      </c>
      <c r="H40" s="4">
        <v>1</v>
      </c>
      <c r="I40" s="4">
        <v>8.44</v>
      </c>
      <c r="J40" s="4">
        <v>4.9956850705719686</v>
      </c>
      <c r="K40" s="4">
        <v>65.400000000000006</v>
      </c>
      <c r="L40" s="5">
        <v>122.17533235768998</v>
      </c>
      <c r="M40" s="5">
        <v>56.236395931188184</v>
      </c>
      <c r="N40" s="5">
        <v>18.45</v>
      </c>
      <c r="O40" s="5">
        <v>161.93</v>
      </c>
      <c r="P40" s="5">
        <v>55</v>
      </c>
      <c r="Q40" s="6">
        <v>4</v>
      </c>
      <c r="R40" s="6">
        <v>41</v>
      </c>
      <c r="S40" s="6">
        <v>9</v>
      </c>
      <c r="T40" s="1">
        <v>37</v>
      </c>
      <c r="U40" s="18">
        <f t="shared" si="34"/>
        <v>0.7567567567567568</v>
      </c>
    </row>
    <row r="41" spans="1:21" s="20" customFormat="1">
      <c r="A41" s="20" t="s">
        <v>45</v>
      </c>
      <c r="B41" s="20" t="s">
        <v>6</v>
      </c>
      <c r="C41" s="7">
        <f>AVERAGE(C37:C40)</f>
        <v>44.992268067846354</v>
      </c>
      <c r="D41" s="7">
        <f>AVERAGE(D37:D40)</f>
        <v>98.424999999999997</v>
      </c>
      <c r="E41" s="8">
        <f>AVERAGE(E37:E40)</f>
        <v>42.305</v>
      </c>
      <c r="F41" s="8">
        <f>AVERAGE(F37:F40)</f>
        <v>82.112881059187586</v>
      </c>
      <c r="G41" s="7">
        <f t="shared" ref="G41" si="35">AVERAGE(G37:G40)</f>
        <v>2.0049999999999999</v>
      </c>
      <c r="H41" s="7">
        <f t="shared" ref="H41" si="36">AVERAGE(H37:H40)</f>
        <v>1</v>
      </c>
      <c r="I41" s="7">
        <f t="shared" ref="I41" si="37">AVERAGE(I37:I40)</f>
        <v>8.4799999999999986</v>
      </c>
      <c r="J41" s="7">
        <f t="shared" ref="J41" si="38">AVERAGE(J37:J40)</f>
        <v>4.7854305515908608</v>
      </c>
      <c r="K41" s="24">
        <f t="shared" ref="K41" si="39">AVERAGE(K37:K40)</f>
        <v>60.599594889277398</v>
      </c>
      <c r="L41" s="8">
        <f t="shared" ref="L41" si="40">AVERAGE(L37:L40)</f>
        <v>117.41999126230191</v>
      </c>
      <c r="M41" s="8">
        <f t="shared" ref="M41" si="41">AVERAGE(M37:M40)</f>
        <v>56.658541704983577</v>
      </c>
      <c r="N41" s="8">
        <f t="shared" ref="N41" si="42">AVERAGE(N37:N40)</f>
        <v>23.287500000000001</v>
      </c>
      <c r="O41" s="8">
        <f t="shared" ref="O41" si="43">AVERAGE(O37:O40)</f>
        <v>151.65000000000003</v>
      </c>
      <c r="P41" s="8">
        <f t="shared" ref="P41" si="44">AVERAGE(P37:P40)</f>
        <v>51.25</v>
      </c>
      <c r="Q41" s="8">
        <f t="shared" ref="Q41" si="45">AVERAGE(Q37:Q40)</f>
        <v>25.75</v>
      </c>
      <c r="R41" s="8">
        <f t="shared" ref="R41" si="46">AVERAGE(R37:R40)</f>
        <v>39.5</v>
      </c>
    </row>
    <row r="42" spans="1:21">
      <c r="C42" s="18"/>
      <c r="D42" s="18"/>
      <c r="E42" s="19"/>
      <c r="F42" s="19"/>
      <c r="H42" s="18"/>
      <c r="I42" s="18"/>
      <c r="J42" s="18"/>
      <c r="L42" s="19"/>
      <c r="M42" s="19"/>
      <c r="N42" s="19"/>
      <c r="O42" s="19"/>
    </row>
    <row r="43" spans="1:21">
      <c r="A43" s="1" t="s">
        <v>65</v>
      </c>
      <c r="B43" s="1" t="s">
        <v>7</v>
      </c>
      <c r="C43" s="15">
        <v>44.144578313253014</v>
      </c>
      <c r="D43" s="15">
        <v>98.6</v>
      </c>
      <c r="E43" s="16">
        <v>48.569999999999993</v>
      </c>
      <c r="F43" s="16">
        <v>80.172489532125269</v>
      </c>
      <c r="G43" s="15">
        <v>1.62</v>
      </c>
      <c r="H43" s="15">
        <v>1</v>
      </c>
      <c r="I43" s="15">
        <v>11.3</v>
      </c>
      <c r="J43" s="15">
        <v>5.3540328277581573</v>
      </c>
      <c r="K43" s="15">
        <v>50.567901234567898</v>
      </c>
      <c r="L43" s="16">
        <v>163.13068772075636</v>
      </c>
      <c r="M43" s="16">
        <v>64.624849366299642</v>
      </c>
      <c r="N43" s="16">
        <v>201</v>
      </c>
      <c r="O43" s="16">
        <v>226.2</v>
      </c>
      <c r="P43" s="16">
        <v>55</v>
      </c>
      <c r="Q43" s="2">
        <v>24</v>
      </c>
      <c r="R43" s="2">
        <v>22</v>
      </c>
      <c r="S43" s="2">
        <v>169</v>
      </c>
      <c r="T43" s="1">
        <v>95</v>
      </c>
      <c r="U43" s="18">
        <f t="shared" ref="U43:U45" si="47">1-(S43/T43)</f>
        <v>-0.77894736842105261</v>
      </c>
    </row>
    <row r="44" spans="1:21">
      <c r="A44" s="1" t="s">
        <v>66</v>
      </c>
      <c r="B44" s="1" t="s">
        <v>7</v>
      </c>
      <c r="C44" s="7">
        <v>46.089238845144358</v>
      </c>
      <c r="D44" s="7">
        <v>99.4</v>
      </c>
      <c r="E44" s="8">
        <v>53.25</v>
      </c>
      <c r="F44" s="8">
        <v>81.677970377425225</v>
      </c>
      <c r="G44" s="7">
        <v>1.76</v>
      </c>
      <c r="H44" s="7">
        <v>1</v>
      </c>
      <c r="I44" s="7">
        <v>9.7399999999999984</v>
      </c>
      <c r="J44" s="7">
        <v>4.5802909457629566</v>
      </c>
      <c r="K44" s="7">
        <v>47.933399619047627</v>
      </c>
      <c r="L44" s="8">
        <v>136.4854697882443</v>
      </c>
      <c r="M44" s="8">
        <v>60.201114078277655</v>
      </c>
      <c r="N44" s="8">
        <v>106.29</v>
      </c>
      <c r="O44" s="8">
        <v>173.82</v>
      </c>
      <c r="P44" s="8">
        <v>47</v>
      </c>
      <c r="Q44" s="9">
        <v>7</v>
      </c>
      <c r="R44" s="9">
        <v>40</v>
      </c>
      <c r="S44" s="9">
        <v>7</v>
      </c>
      <c r="T44" s="1">
        <v>10</v>
      </c>
      <c r="U44" s="18">
        <f t="shared" si="47"/>
        <v>0.30000000000000004</v>
      </c>
    </row>
    <row r="45" spans="1:21">
      <c r="A45" s="10" t="s">
        <v>67</v>
      </c>
      <c r="B45" s="1" t="s">
        <v>7</v>
      </c>
      <c r="C45" s="11">
        <v>46.084788029925186</v>
      </c>
      <c r="D45" s="11">
        <v>99.5</v>
      </c>
      <c r="E45" s="12">
        <v>49.930000000000007</v>
      </c>
      <c r="F45" s="12">
        <v>82.303874333372491</v>
      </c>
      <c r="G45" s="11">
        <v>1.5</v>
      </c>
      <c r="H45" s="11">
        <v>1</v>
      </c>
      <c r="I45" s="11">
        <v>8.7799999999999994</v>
      </c>
      <c r="J45" s="11">
        <v>5.0715393127393851</v>
      </c>
      <c r="K45" s="11">
        <v>59.419249465648861</v>
      </c>
      <c r="L45" s="12">
        <v>118.67665742029851</v>
      </c>
      <c r="M45" s="12">
        <v>67.02193857313064</v>
      </c>
      <c r="N45" s="12">
        <v>28.2</v>
      </c>
      <c r="O45" s="12">
        <v>170.7</v>
      </c>
      <c r="P45" s="12">
        <v>52</v>
      </c>
      <c r="Q45" s="14">
        <v>20</v>
      </c>
      <c r="R45" s="14">
        <v>49</v>
      </c>
      <c r="S45" s="14">
        <v>7</v>
      </c>
      <c r="T45" s="1">
        <v>60</v>
      </c>
      <c r="U45" s="18">
        <f t="shared" si="47"/>
        <v>0.8833333333333333</v>
      </c>
    </row>
    <row r="46" spans="1:21" s="20" customFormat="1">
      <c r="A46" s="20" t="s">
        <v>45</v>
      </c>
      <c r="B46" s="20" t="s">
        <v>7</v>
      </c>
      <c r="C46" s="7">
        <f>AVERAGE(C43:C45)</f>
        <v>45.439535062774183</v>
      </c>
      <c r="D46" s="7">
        <f>AVERAGE(D43:D45)</f>
        <v>99.166666666666671</v>
      </c>
      <c r="E46" s="8">
        <f>AVERAGE(E43:E45)</f>
        <v>50.583333333333336</v>
      </c>
      <c r="F46" s="8">
        <f>AVERAGE(F43:F45)</f>
        <v>81.384778080974328</v>
      </c>
      <c r="G46" s="7">
        <f t="shared" ref="G46" si="48">AVERAGE(G43:G45)</f>
        <v>1.6266666666666667</v>
      </c>
      <c r="H46" s="7">
        <f t="shared" ref="H46" si="49">AVERAGE(H43:H45)</f>
        <v>1</v>
      </c>
      <c r="I46" s="7">
        <f t="shared" ref="I46" si="50">AVERAGE(I43:I45)</f>
        <v>9.94</v>
      </c>
      <c r="J46" s="7">
        <f t="shared" ref="J46" si="51">AVERAGE(J43:J45)</f>
        <v>5.0019543620868339</v>
      </c>
      <c r="K46" s="7">
        <f t="shared" ref="K46" si="52">AVERAGE(K43:K45)</f>
        <v>52.6401834397548</v>
      </c>
      <c r="L46" s="8">
        <f t="shared" ref="L46" si="53">AVERAGE(L43:L45)</f>
        <v>139.43093830976639</v>
      </c>
      <c r="M46" s="8">
        <f t="shared" ref="M46" si="54">AVERAGE(M43:M45)</f>
        <v>63.949300672569315</v>
      </c>
      <c r="N46" s="23">
        <f t="shared" ref="N46" si="55">AVERAGE(N43:N45)</f>
        <v>111.83</v>
      </c>
      <c r="O46" s="8">
        <f t="shared" ref="O46" si="56">AVERAGE(O43:O45)</f>
        <v>190.24</v>
      </c>
      <c r="P46" s="8">
        <f t="shared" ref="P46" si="57">AVERAGE(P43:P45)</f>
        <v>51.333333333333336</v>
      </c>
      <c r="Q46" s="8">
        <f t="shared" ref="Q46" si="58">AVERAGE(Q43:Q45)</f>
        <v>17</v>
      </c>
      <c r="R46" s="8">
        <f t="shared" ref="R46" si="59">AVERAGE(R43:R45)</f>
        <v>37</v>
      </c>
    </row>
    <row r="48" spans="1:21" ht="16.5">
      <c r="A48" s="22" t="s">
        <v>73</v>
      </c>
      <c r="H48" s="1" t="s">
        <v>81</v>
      </c>
    </row>
    <row r="49" spans="1:8" ht="16.5">
      <c r="A49" s="22" t="s">
        <v>74</v>
      </c>
      <c r="G49" s="17">
        <v>1</v>
      </c>
      <c r="H49" s="1" t="s">
        <v>4</v>
      </c>
    </row>
    <row r="50" spans="1:8" ht="16.5">
      <c r="A50" s="22" t="s">
        <v>75</v>
      </c>
      <c r="G50" s="17">
        <v>2</v>
      </c>
      <c r="H50" s="17" t="s">
        <v>47</v>
      </c>
    </row>
    <row r="51" spans="1:8" ht="16.5">
      <c r="A51" s="22" t="s">
        <v>76</v>
      </c>
      <c r="G51" s="17">
        <v>3</v>
      </c>
      <c r="H51" s="1" t="s">
        <v>6</v>
      </c>
    </row>
    <row r="52" spans="1:8" ht="16.5">
      <c r="A52" s="22" t="s">
        <v>77</v>
      </c>
      <c r="G52" s="17">
        <v>4</v>
      </c>
      <c r="H52" s="1" t="s">
        <v>3</v>
      </c>
    </row>
    <row r="53" spans="1:8" ht="16.5">
      <c r="A53" s="22" t="s">
        <v>78</v>
      </c>
      <c r="G53" s="17">
        <v>5</v>
      </c>
      <c r="H53" s="1" t="s">
        <v>2</v>
      </c>
    </row>
    <row r="54" spans="1:8" ht="16.5">
      <c r="A54" s="22" t="s">
        <v>79</v>
      </c>
      <c r="G54" s="17">
        <v>6</v>
      </c>
      <c r="H54" s="1" t="s">
        <v>5</v>
      </c>
    </row>
    <row r="55" spans="1:8" ht="16.5">
      <c r="A55" s="22" t="s">
        <v>80</v>
      </c>
      <c r="G55" s="17">
        <v>7</v>
      </c>
      <c r="H55" s="17" t="s">
        <v>42</v>
      </c>
    </row>
    <row r="56" spans="1:8">
      <c r="G56" s="17">
        <v>8</v>
      </c>
      <c r="H56" s="1" t="s">
        <v>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4AA7-65E9-384D-BA33-DEC48B5BBF71}">
  <dimension ref="A1:T56"/>
  <sheetViews>
    <sheetView topLeftCell="G1" workbookViewId="0">
      <selection activeCell="P4" sqref="P4:P11"/>
    </sheetView>
  </sheetViews>
  <sheetFormatPr defaultColWidth="10.6640625" defaultRowHeight="15.5"/>
  <cols>
    <col min="1" max="1" width="36.75" bestFit="1" customWidth="1"/>
  </cols>
  <sheetData>
    <row r="1" spans="1:20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Q1" s="2"/>
      <c r="R1" s="2"/>
      <c r="S1" s="1"/>
      <c r="T1" s="1"/>
    </row>
    <row r="2" spans="1:20">
      <c r="A2" s="52" t="s">
        <v>191</v>
      </c>
      <c r="B2" s="29" t="s">
        <v>10</v>
      </c>
      <c r="C2" s="29" t="s">
        <v>11</v>
      </c>
      <c r="D2" s="29" t="s">
        <v>12</v>
      </c>
      <c r="E2" s="29" t="s">
        <v>13</v>
      </c>
      <c r="F2" s="29" t="s">
        <v>12</v>
      </c>
      <c r="G2" s="29" t="s">
        <v>14</v>
      </c>
      <c r="H2" s="29"/>
      <c r="I2" s="29"/>
      <c r="J2" s="29" t="s">
        <v>15</v>
      </c>
      <c r="K2" s="29" t="s">
        <v>16</v>
      </c>
      <c r="L2" s="29"/>
      <c r="M2" s="30"/>
      <c r="Q2" s="2"/>
      <c r="R2" s="2"/>
      <c r="S2" s="1"/>
      <c r="T2" s="1"/>
    </row>
    <row r="3" spans="1:20">
      <c r="A3" s="53"/>
      <c r="B3" s="29" t="s">
        <v>19</v>
      </c>
      <c r="C3" s="29" t="s">
        <v>20</v>
      </c>
      <c r="D3" s="29" t="s">
        <v>21</v>
      </c>
      <c r="E3" s="29" t="s">
        <v>22</v>
      </c>
      <c r="F3" s="29" t="s">
        <v>23</v>
      </c>
      <c r="G3" s="29" t="s">
        <v>23</v>
      </c>
      <c r="H3" s="29" t="s">
        <v>24</v>
      </c>
      <c r="I3" s="29" t="s">
        <v>25</v>
      </c>
      <c r="J3" s="29" t="s">
        <v>26</v>
      </c>
      <c r="K3" s="29" t="s">
        <v>27</v>
      </c>
      <c r="L3" s="29" t="s">
        <v>28</v>
      </c>
      <c r="M3" s="30"/>
      <c r="Q3" s="2"/>
      <c r="R3" s="2"/>
      <c r="S3" s="1"/>
      <c r="T3" s="1"/>
    </row>
    <row r="4" spans="1:20" ht="16.5">
      <c r="A4" s="28" t="s">
        <v>82</v>
      </c>
      <c r="B4" s="29" t="s">
        <v>31</v>
      </c>
      <c r="C4" s="29" t="s">
        <v>32</v>
      </c>
      <c r="D4" s="29" t="s">
        <v>33</v>
      </c>
      <c r="E4" s="29" t="s">
        <v>32</v>
      </c>
      <c r="F4" s="29" t="s">
        <v>32</v>
      </c>
      <c r="G4" s="29" t="s">
        <v>32</v>
      </c>
      <c r="H4" s="29" t="s">
        <v>32</v>
      </c>
      <c r="I4" s="29" t="s">
        <v>35</v>
      </c>
      <c r="J4" s="29" t="s">
        <v>36</v>
      </c>
      <c r="K4" s="29" t="s">
        <v>37</v>
      </c>
      <c r="L4" s="29" t="s">
        <v>37</v>
      </c>
      <c r="M4" s="31" t="s">
        <v>113</v>
      </c>
      <c r="P4" s="22" t="s">
        <v>73</v>
      </c>
    </row>
    <row r="5" spans="1:20" ht="16.5">
      <c r="A5" s="28" t="s">
        <v>94</v>
      </c>
      <c r="B5" s="37">
        <v>43.327053362037297</v>
      </c>
      <c r="C5" s="37">
        <v>97.847876658944401</v>
      </c>
      <c r="D5" s="37">
        <v>49.240544211015603</v>
      </c>
      <c r="E5" s="37">
        <v>81.926945705038506</v>
      </c>
      <c r="F5" s="37">
        <v>9.3171666189331592</v>
      </c>
      <c r="G5" s="37">
        <v>4.6922427912175602</v>
      </c>
      <c r="H5" s="37">
        <v>50.747125293153204</v>
      </c>
      <c r="I5" s="37">
        <v>123.87456452914</v>
      </c>
      <c r="J5" s="37">
        <v>46.727050456993702</v>
      </c>
      <c r="K5" s="37">
        <v>71.465000000000003</v>
      </c>
      <c r="L5" s="37">
        <v>153.36250000000001</v>
      </c>
      <c r="M5" s="31">
        <v>4</v>
      </c>
      <c r="P5" s="22" t="s">
        <v>74</v>
      </c>
    </row>
    <row r="6" spans="1:20" ht="16.5">
      <c r="A6" s="28" t="s">
        <v>47</v>
      </c>
      <c r="B6" s="37">
        <v>45.114404498615002</v>
      </c>
      <c r="C6" s="37">
        <v>98.868297821556197</v>
      </c>
      <c r="D6" s="37">
        <v>49.968692653359597</v>
      </c>
      <c r="E6" s="37">
        <v>81.822273063174805</v>
      </c>
      <c r="F6" s="37">
        <v>9.6006621668328194</v>
      </c>
      <c r="G6" s="37">
        <v>4.7931812290877502</v>
      </c>
      <c r="H6" s="37">
        <v>49.533137815084999</v>
      </c>
      <c r="I6" s="37">
        <v>132.390231353622</v>
      </c>
      <c r="J6" s="37">
        <v>51.2977964153336</v>
      </c>
      <c r="K6" s="37">
        <v>49.564316085665197</v>
      </c>
      <c r="L6" s="37">
        <v>169.49117647058799</v>
      </c>
      <c r="M6" s="31">
        <v>2</v>
      </c>
      <c r="P6" s="22" t="s">
        <v>75</v>
      </c>
    </row>
    <row r="7" spans="1:20" s="33" customFormat="1" ht="16.5">
      <c r="A7" s="32" t="s">
        <v>100</v>
      </c>
      <c r="B7" s="37">
        <v>44.574018069702497</v>
      </c>
      <c r="C7" s="37">
        <v>98.201566027822594</v>
      </c>
      <c r="D7" s="37">
        <v>49.690282844240798</v>
      </c>
      <c r="E7" s="37">
        <v>82.068597025272197</v>
      </c>
      <c r="F7" s="37">
        <v>9.4541994735510109</v>
      </c>
      <c r="G7" s="37">
        <v>4.5922381252161699</v>
      </c>
      <c r="H7" s="37">
        <v>53.5791351110379</v>
      </c>
      <c r="I7" s="37">
        <v>125.59120367289</v>
      </c>
      <c r="J7" s="37">
        <v>53.989414522149701</v>
      </c>
      <c r="K7" s="37">
        <v>51.77</v>
      </c>
      <c r="L7" s="37">
        <v>160.69999999999999</v>
      </c>
      <c r="M7" s="31">
        <v>4</v>
      </c>
      <c r="P7" s="22" t="s">
        <v>76</v>
      </c>
    </row>
    <row r="8" spans="1:20" ht="16.5">
      <c r="A8" s="28" t="s">
        <v>93</v>
      </c>
      <c r="B8" s="37">
        <v>44.067524420431802</v>
      </c>
      <c r="C8" s="37">
        <v>98.397457712675006</v>
      </c>
      <c r="D8" s="37">
        <v>51.499052265779298</v>
      </c>
      <c r="E8" s="37">
        <v>82.307617342806793</v>
      </c>
      <c r="F8" s="37">
        <v>9.1090872012706292</v>
      </c>
      <c r="G8" s="37">
        <v>4.9498802473843302</v>
      </c>
      <c r="H8" s="37">
        <v>57.062588772622597</v>
      </c>
      <c r="I8" s="37">
        <v>133.87779842974899</v>
      </c>
      <c r="J8" s="37">
        <v>53.250323276315903</v>
      </c>
      <c r="K8" s="37">
        <v>57.829316085665198</v>
      </c>
      <c r="L8" s="37">
        <v>160.40117647058801</v>
      </c>
      <c r="M8" s="31">
        <v>2</v>
      </c>
      <c r="P8" s="22" t="s">
        <v>77</v>
      </c>
    </row>
    <row r="9" spans="1:20" ht="16.5">
      <c r="A9" s="25" t="s">
        <v>96</v>
      </c>
      <c r="B9" s="41">
        <v>44.470004769904897</v>
      </c>
      <c r="C9" s="46">
        <v>97.373273429584003</v>
      </c>
      <c r="D9" s="41">
        <v>53.373018523441303</v>
      </c>
      <c r="E9" s="41">
        <v>82.1887990914542</v>
      </c>
      <c r="F9" s="41">
        <v>9.1402341730687908</v>
      </c>
      <c r="G9" s="41">
        <v>4.6175476310541299</v>
      </c>
      <c r="H9" s="41">
        <v>53.749702807476297</v>
      </c>
      <c r="I9" s="41">
        <v>127.962607609263</v>
      </c>
      <c r="J9" s="41">
        <v>48.567017308957801</v>
      </c>
      <c r="K9" s="41">
        <v>38.969316085665199</v>
      </c>
      <c r="L9" s="41">
        <v>165.53117647058801</v>
      </c>
      <c r="M9" s="42">
        <v>2</v>
      </c>
      <c r="P9" s="22" t="s">
        <v>78</v>
      </c>
    </row>
    <row r="10" spans="1:20" ht="16.5">
      <c r="A10" s="25" t="s">
        <v>85</v>
      </c>
      <c r="B10" s="41">
        <v>44.434418261609103</v>
      </c>
      <c r="C10" s="41">
        <v>98.585793756227503</v>
      </c>
      <c r="D10" s="41">
        <v>50.260614188858803</v>
      </c>
      <c r="E10" s="41">
        <v>81.235626005717407</v>
      </c>
      <c r="F10" s="41">
        <v>10.4392431201144</v>
      </c>
      <c r="G10" s="41">
        <v>4.8865616725274803</v>
      </c>
      <c r="H10" s="41">
        <v>52.492730772171498</v>
      </c>
      <c r="I10" s="41">
        <v>144.046058125982</v>
      </c>
      <c r="J10" s="41">
        <v>48.7211472824076</v>
      </c>
      <c r="K10" s="41">
        <v>58.844316085665199</v>
      </c>
      <c r="L10" s="41">
        <v>162.65117647058801</v>
      </c>
      <c r="M10" s="42">
        <v>2</v>
      </c>
      <c r="P10" s="22" t="s">
        <v>79</v>
      </c>
    </row>
    <row r="11" spans="1:20" ht="16.5">
      <c r="A11" s="28" t="s">
        <v>42</v>
      </c>
      <c r="B11" s="37">
        <v>41.177445568432503</v>
      </c>
      <c r="C11" s="37">
        <v>98.501199784747499</v>
      </c>
      <c r="D11" s="37">
        <v>50.856579453341801</v>
      </c>
      <c r="E11" s="37">
        <v>81.357921560545606</v>
      </c>
      <c r="F11" s="37">
        <v>9.0018525889394905</v>
      </c>
      <c r="G11" s="37">
        <v>4.1930483786807198</v>
      </c>
      <c r="H11" s="37">
        <v>51.601922599925203</v>
      </c>
      <c r="I11" s="37">
        <v>119.77374859403101</v>
      </c>
      <c r="J11" s="44">
        <v>38.455234495103099</v>
      </c>
      <c r="K11" s="37">
        <v>41.808105361888401</v>
      </c>
      <c r="L11" s="45">
        <v>135.042058823529</v>
      </c>
      <c r="M11" s="31">
        <v>6</v>
      </c>
      <c r="P11" s="22" t="s">
        <v>80</v>
      </c>
    </row>
    <row r="12" spans="1:20">
      <c r="A12" s="25" t="s">
        <v>91</v>
      </c>
      <c r="B12" s="41">
        <v>44.673344581163398</v>
      </c>
      <c r="C12" s="41">
        <v>99.084042524722804</v>
      </c>
      <c r="D12" s="41">
        <v>56.881516885036902</v>
      </c>
      <c r="E12" s="41">
        <v>81.878482329777</v>
      </c>
      <c r="F12" s="41">
        <v>10.2809498139688</v>
      </c>
      <c r="G12" s="41">
        <v>5.0842379857068201</v>
      </c>
      <c r="H12" s="41">
        <v>50.846021205952802</v>
      </c>
      <c r="I12" s="41">
        <v>141.355122235181</v>
      </c>
      <c r="J12" s="41">
        <v>63.4230760129375</v>
      </c>
      <c r="K12" s="44">
        <v>92.342500000000001</v>
      </c>
      <c r="L12" s="41">
        <v>179.60249999999999</v>
      </c>
      <c r="M12" s="42">
        <v>4</v>
      </c>
      <c r="R12" s="1"/>
    </row>
    <row r="13" spans="1:20">
      <c r="A13" s="36" t="s">
        <v>86</v>
      </c>
      <c r="B13" s="34">
        <v>48.969369479394302</v>
      </c>
      <c r="C13" s="34">
        <v>96.952354341693507</v>
      </c>
      <c r="D13" s="34">
        <v>56.4496462863275</v>
      </c>
      <c r="E13" s="34">
        <v>81.097463408771901</v>
      </c>
      <c r="F13" s="34">
        <v>9.9050065135843397</v>
      </c>
      <c r="G13" s="34">
        <v>4.3981724908779496</v>
      </c>
      <c r="H13" s="34">
        <v>47.818285678607197</v>
      </c>
      <c r="I13" s="34">
        <v>117.295023830104</v>
      </c>
      <c r="J13" s="34">
        <v>43.9695962636427</v>
      </c>
      <c r="K13" s="34">
        <v>176.729316085665</v>
      </c>
      <c r="L13" s="34">
        <v>122.1925</v>
      </c>
      <c r="M13" s="35">
        <v>4</v>
      </c>
      <c r="R13" s="17"/>
    </row>
    <row r="14" spans="1:20">
      <c r="A14" s="36" t="s">
        <v>87</v>
      </c>
      <c r="B14" s="34">
        <v>44.787584255670197</v>
      </c>
      <c r="C14" s="34">
        <v>98.599935045479</v>
      </c>
      <c r="D14" s="34">
        <v>57.825328111638797</v>
      </c>
      <c r="E14" s="34">
        <v>81.891509744772705</v>
      </c>
      <c r="F14" s="34">
        <v>9.8517626071572497</v>
      </c>
      <c r="G14" s="34">
        <v>4.5303155284476997</v>
      </c>
      <c r="H14" s="34">
        <v>50.9952217873225</v>
      </c>
      <c r="I14" s="34">
        <v>142.01512244281</v>
      </c>
      <c r="J14" s="34">
        <v>54.4041112515837</v>
      </c>
      <c r="K14" s="34">
        <v>54.015000000000001</v>
      </c>
      <c r="L14" s="34">
        <v>143.08750000000001</v>
      </c>
      <c r="M14" s="35">
        <v>4</v>
      </c>
      <c r="R14" s="1"/>
    </row>
    <row r="15" spans="1:20" s="38" customFormat="1">
      <c r="A15" s="36" t="s">
        <v>110</v>
      </c>
      <c r="B15" s="34">
        <v>46.066271134380401</v>
      </c>
      <c r="C15" s="34">
        <v>98.907631148320206</v>
      </c>
      <c r="D15" s="34">
        <v>55.418316099030399</v>
      </c>
      <c r="E15" s="34">
        <v>82.712054533587306</v>
      </c>
      <c r="F15" s="34">
        <v>9.5856457181486991</v>
      </c>
      <c r="G15" s="34">
        <v>4.5830958234628696</v>
      </c>
      <c r="H15" s="34">
        <v>52.035152825820603</v>
      </c>
      <c r="I15" s="34">
        <v>142.17547886773801</v>
      </c>
      <c r="J15" s="34">
        <v>68.437244800771694</v>
      </c>
      <c r="K15" s="34">
        <v>27.195</v>
      </c>
      <c r="L15" s="34">
        <v>152.07749999999999</v>
      </c>
      <c r="M15" s="35">
        <v>4</v>
      </c>
      <c r="R15" s="39"/>
    </row>
    <row r="16" spans="1:20" s="38" customFormat="1">
      <c r="A16" s="36" t="s">
        <v>111</v>
      </c>
      <c r="B16" s="34">
        <v>48.952169909877902</v>
      </c>
      <c r="C16" s="34">
        <v>98.441283075058706</v>
      </c>
      <c r="D16" s="34">
        <v>50.360363702726502</v>
      </c>
      <c r="E16" s="34">
        <v>82.376457000263599</v>
      </c>
      <c r="F16" s="34">
        <v>9.97150821649244</v>
      </c>
      <c r="G16" s="34">
        <v>4.5781313151668996</v>
      </c>
      <c r="H16" s="34">
        <v>50.6306547351737</v>
      </c>
      <c r="I16" s="34">
        <v>141.788932083524</v>
      </c>
      <c r="J16" s="34">
        <v>53.749688045836798</v>
      </c>
      <c r="K16" s="34">
        <v>84.65</v>
      </c>
      <c r="L16" s="34">
        <v>152.26499999999999</v>
      </c>
      <c r="M16" s="35">
        <v>4</v>
      </c>
      <c r="R16" s="39"/>
    </row>
    <row r="17" spans="1:18" s="38" customFormat="1">
      <c r="A17" s="36" t="s">
        <v>112</v>
      </c>
      <c r="B17" s="34">
        <v>43.971054323645099</v>
      </c>
      <c r="C17" s="34">
        <v>98.124273719150906</v>
      </c>
      <c r="D17" s="34">
        <v>50.004405091237302</v>
      </c>
      <c r="E17" s="34">
        <v>81.950465390225602</v>
      </c>
      <c r="F17" s="34">
        <v>10.395775752690099</v>
      </c>
      <c r="G17" s="34">
        <v>4.6761631036782001</v>
      </c>
      <c r="H17" s="34">
        <v>47.691014592650497</v>
      </c>
      <c r="I17" s="34">
        <v>153.70354867993601</v>
      </c>
      <c r="J17" s="34">
        <v>60.826706847246697</v>
      </c>
      <c r="K17" s="34">
        <v>99.105000000000004</v>
      </c>
      <c r="L17" s="34">
        <v>167.39500000000001</v>
      </c>
      <c r="M17" s="35">
        <v>4</v>
      </c>
      <c r="N17"/>
      <c r="P17" s="1" t="s">
        <v>4</v>
      </c>
      <c r="R17" s="39"/>
    </row>
    <row r="18" spans="1:18" s="38" customFormat="1">
      <c r="A18" s="36" t="s">
        <v>114</v>
      </c>
      <c r="B18" s="34">
        <v>47.619053328654502</v>
      </c>
      <c r="C18" s="34">
        <v>98.807255700746794</v>
      </c>
      <c r="D18" s="34">
        <v>54.2493434888396</v>
      </c>
      <c r="E18" s="34">
        <v>81.699196819057903</v>
      </c>
      <c r="F18" s="34">
        <v>10.738174362992799</v>
      </c>
      <c r="G18" s="34">
        <v>4.9763209025646997</v>
      </c>
      <c r="H18" s="34">
        <v>49.015765300928997</v>
      </c>
      <c r="I18" s="34">
        <v>139.85609556715499</v>
      </c>
      <c r="J18" s="34">
        <v>50.786411126084403</v>
      </c>
      <c r="K18" s="34">
        <v>64.092500000000001</v>
      </c>
      <c r="L18" s="34">
        <v>181.96250000000001</v>
      </c>
      <c r="M18" s="35">
        <v>4</v>
      </c>
      <c r="P18" s="17" t="s">
        <v>47</v>
      </c>
      <c r="R18" s="40"/>
    </row>
    <row r="19" spans="1:18">
      <c r="A19" s="36" t="s">
        <v>115</v>
      </c>
      <c r="B19" s="34">
        <v>41.995251255072397</v>
      </c>
      <c r="C19" s="34">
        <v>97.964326414916201</v>
      </c>
      <c r="D19" s="34">
        <v>52.288471327836497</v>
      </c>
      <c r="E19" s="34">
        <v>82.328266573098105</v>
      </c>
      <c r="F19" s="34">
        <v>9.6346926006507392</v>
      </c>
      <c r="G19" s="34">
        <v>4.7190711555333804</v>
      </c>
      <c r="H19" s="34">
        <v>52.364387578580398</v>
      </c>
      <c r="I19" s="34">
        <v>153.46278628007201</v>
      </c>
      <c r="J19" s="34">
        <v>57.915278758926704</v>
      </c>
      <c r="K19" s="34">
        <v>50.012500000000003</v>
      </c>
      <c r="L19" s="34">
        <v>167.3175</v>
      </c>
      <c r="M19" s="35">
        <v>4</v>
      </c>
      <c r="P19" s="1" t="s">
        <v>6</v>
      </c>
      <c r="R19" s="1"/>
    </row>
    <row r="20" spans="1:18">
      <c r="A20" s="36" t="s">
        <v>95</v>
      </c>
      <c r="B20" s="34">
        <v>43.997177889496399</v>
      </c>
      <c r="C20" s="34">
        <v>97.949754447142695</v>
      </c>
      <c r="D20" s="34">
        <v>51.620215853311599</v>
      </c>
      <c r="E20" s="34">
        <v>82.195309187452196</v>
      </c>
      <c r="F20" s="34">
        <v>9.2264185022200902</v>
      </c>
      <c r="G20" s="34">
        <v>4.5391169651674597</v>
      </c>
      <c r="H20" s="34">
        <v>53.5012821141475</v>
      </c>
      <c r="I20" s="34">
        <v>127.925487291034</v>
      </c>
      <c r="J20" s="34">
        <v>50.074637728558301</v>
      </c>
      <c r="K20" s="34">
        <v>36.424999999999997</v>
      </c>
      <c r="L20" s="34">
        <v>154.05000000000001</v>
      </c>
      <c r="M20" s="35">
        <v>4</v>
      </c>
      <c r="P20" s="1" t="s">
        <v>3</v>
      </c>
    </row>
    <row r="21" spans="1:18" s="33" customFormat="1">
      <c r="A21" s="36" t="s">
        <v>97</v>
      </c>
      <c r="B21" s="34">
        <v>47.870015762011299</v>
      </c>
      <c r="C21" s="34">
        <v>98.301845836294703</v>
      </c>
      <c r="D21" s="34">
        <v>52.3742425693952</v>
      </c>
      <c r="E21" s="34">
        <v>82.0859821441299</v>
      </c>
      <c r="F21" s="34">
        <v>9.9913732810160703</v>
      </c>
      <c r="G21" s="34">
        <v>5.0520655675505601</v>
      </c>
      <c r="H21" s="34">
        <v>52.830623332745198</v>
      </c>
      <c r="I21" s="34">
        <v>140.59236081025901</v>
      </c>
      <c r="J21" s="34">
        <v>48.781110373225701</v>
      </c>
      <c r="K21" s="34">
        <v>20.9025</v>
      </c>
      <c r="L21" s="34">
        <v>183.59</v>
      </c>
      <c r="M21" s="35">
        <v>4</v>
      </c>
      <c r="P21" s="1" t="s">
        <v>2</v>
      </c>
    </row>
    <row r="22" spans="1:18">
      <c r="A22" s="43" t="s">
        <v>98</v>
      </c>
      <c r="B22" s="34">
        <v>52.322179196613199</v>
      </c>
      <c r="C22" s="34">
        <v>99.367542865475301</v>
      </c>
      <c r="D22" s="34">
        <v>49.639019707060697</v>
      </c>
      <c r="E22" s="34">
        <v>81.531709372247207</v>
      </c>
      <c r="F22" s="34">
        <v>10.592442536289299</v>
      </c>
      <c r="G22" s="34">
        <v>5.14490276386395</v>
      </c>
      <c r="H22" s="34">
        <v>48.4408452322524</v>
      </c>
      <c r="I22" s="34">
        <v>139.27960122094501</v>
      </c>
      <c r="J22" s="34">
        <v>45.094360876889397</v>
      </c>
      <c r="K22" s="34">
        <v>50.482500000000002</v>
      </c>
      <c r="L22" s="34">
        <v>179.05500000000001</v>
      </c>
      <c r="M22" s="35">
        <v>4</v>
      </c>
      <c r="P22" s="1" t="s">
        <v>5</v>
      </c>
    </row>
    <row r="23" spans="1:18">
      <c r="A23" s="43" t="s">
        <v>99</v>
      </c>
      <c r="B23" s="34">
        <v>43.383737256207297</v>
      </c>
      <c r="C23" s="34">
        <v>96.330931440246403</v>
      </c>
      <c r="D23" s="34">
        <v>53.717608748904802</v>
      </c>
      <c r="E23" s="34">
        <v>81.998170246508707</v>
      </c>
      <c r="F23" s="34">
        <v>9.6879998608651903</v>
      </c>
      <c r="G23" s="34">
        <v>4.8953329962856298</v>
      </c>
      <c r="H23" s="34">
        <v>55.656275830937297</v>
      </c>
      <c r="I23" s="34">
        <v>142.460081595399</v>
      </c>
      <c r="J23" s="34">
        <v>65.011632734963797</v>
      </c>
      <c r="K23" s="34">
        <v>16.4725</v>
      </c>
      <c r="L23" s="34">
        <v>193.23249999999999</v>
      </c>
      <c r="M23" s="35">
        <v>4</v>
      </c>
      <c r="P23" s="17" t="s">
        <v>42</v>
      </c>
    </row>
    <row r="24" spans="1:18" s="38" customFormat="1">
      <c r="A24" s="43" t="s">
        <v>101</v>
      </c>
      <c r="B24" s="34">
        <v>48.3741896961753</v>
      </c>
      <c r="C24" s="34">
        <v>98.468486231494595</v>
      </c>
      <c r="D24" s="34">
        <v>55.323589037886997</v>
      </c>
      <c r="E24" s="34">
        <v>81.382019934100896</v>
      </c>
      <c r="F24" s="34">
        <v>9.7819258222181809</v>
      </c>
      <c r="G24" s="34">
        <v>4.7945882750999704</v>
      </c>
      <c r="H24" s="34">
        <v>52.231275468738701</v>
      </c>
      <c r="I24" s="34">
        <v>121.617225376644</v>
      </c>
      <c r="J24" s="34">
        <v>50.895349167188698</v>
      </c>
      <c r="K24" s="34">
        <v>51.387500000000003</v>
      </c>
      <c r="L24" s="34">
        <v>170.44499999999999</v>
      </c>
      <c r="M24" s="35">
        <v>4</v>
      </c>
      <c r="P24" s="1" t="s">
        <v>7</v>
      </c>
    </row>
    <row r="25" spans="1:18" ht="16.5">
      <c r="A25" s="43" t="s">
        <v>102</v>
      </c>
      <c r="B25" s="34">
        <v>50.126001250881302</v>
      </c>
      <c r="C25" s="34">
        <v>98.587239768852299</v>
      </c>
      <c r="D25" s="34">
        <v>57.036422762868</v>
      </c>
      <c r="E25" s="34">
        <v>82.297493522354102</v>
      </c>
      <c r="F25" s="34">
        <v>10.4444763192939</v>
      </c>
      <c r="G25" s="34">
        <v>5.2414571403606498</v>
      </c>
      <c r="H25" s="34">
        <v>53.872250040395699</v>
      </c>
      <c r="I25" s="34">
        <v>141.87597734644001</v>
      </c>
      <c r="J25" s="34">
        <v>53.8608452800053</v>
      </c>
      <c r="K25" s="34">
        <v>27.522500000000001</v>
      </c>
      <c r="L25" s="34">
        <v>197.1275</v>
      </c>
      <c r="M25" s="35">
        <v>4</v>
      </c>
      <c r="Q25" s="22"/>
    </row>
    <row r="26" spans="1:18" ht="16.5">
      <c r="A26" s="43" t="s">
        <v>103</v>
      </c>
      <c r="B26" s="34">
        <v>44.174862514810002</v>
      </c>
      <c r="C26" s="34">
        <v>98.282455932046503</v>
      </c>
      <c r="D26" s="34">
        <v>47.7945769956996</v>
      </c>
      <c r="E26" s="34">
        <v>81.508105766000099</v>
      </c>
      <c r="F26" s="34">
        <v>9.7755370172732405</v>
      </c>
      <c r="G26" s="34">
        <v>4.8307080752078804</v>
      </c>
      <c r="H26" s="34">
        <v>53.105831144236099</v>
      </c>
      <c r="I26" s="34">
        <v>129.52386937864901</v>
      </c>
      <c r="J26" s="34">
        <v>55.172244734985597</v>
      </c>
      <c r="K26" s="34">
        <v>25.587499999999999</v>
      </c>
      <c r="L26" s="34">
        <v>164.255</v>
      </c>
      <c r="M26" s="35">
        <v>4</v>
      </c>
      <c r="Q26" s="22"/>
    </row>
    <row r="27" spans="1:18" ht="16.5">
      <c r="A27" s="43" t="s">
        <v>104</v>
      </c>
      <c r="B27" s="34">
        <v>47.409417101041498</v>
      </c>
      <c r="C27" s="34">
        <v>98.895305304572702</v>
      </c>
      <c r="D27" s="34">
        <v>57.060982035675899</v>
      </c>
      <c r="E27" s="34">
        <v>81.798252245708099</v>
      </c>
      <c r="F27" s="34">
        <v>10.286849866746</v>
      </c>
      <c r="G27" s="34">
        <v>4.4298996016982004</v>
      </c>
      <c r="H27" s="34">
        <v>45.976591381179098</v>
      </c>
      <c r="I27" s="34">
        <v>139.17347007470099</v>
      </c>
      <c r="J27" s="34">
        <v>42.729755880349899</v>
      </c>
      <c r="K27" s="34">
        <v>59.475000000000001</v>
      </c>
      <c r="L27" s="34">
        <v>139.54</v>
      </c>
      <c r="M27" s="35">
        <v>4</v>
      </c>
      <c r="Q27" s="22"/>
    </row>
    <row r="28" spans="1:18" ht="16.5">
      <c r="A28" s="43" t="s">
        <v>105</v>
      </c>
      <c r="B28" s="34">
        <v>49.284674527603798</v>
      </c>
      <c r="C28" s="34">
        <v>98.906362739089204</v>
      </c>
      <c r="D28" s="34">
        <v>50.331389140078997</v>
      </c>
      <c r="E28" s="34">
        <v>82.332507442129796</v>
      </c>
      <c r="F28" s="34">
        <v>10.1690479767318</v>
      </c>
      <c r="G28" s="34">
        <v>4.7996758462225699</v>
      </c>
      <c r="H28" s="34">
        <v>50.466567500828901</v>
      </c>
      <c r="I28" s="34">
        <v>139.88679411108899</v>
      </c>
      <c r="J28" s="34">
        <v>49.337152483673698</v>
      </c>
      <c r="K28" s="34">
        <v>22.497499999999999</v>
      </c>
      <c r="L28" s="34">
        <v>182.80250000000001</v>
      </c>
      <c r="M28" s="35">
        <v>4</v>
      </c>
      <c r="Q28" s="22"/>
    </row>
    <row r="29" spans="1:18" ht="16.5">
      <c r="A29" s="36" t="s">
        <v>106</v>
      </c>
      <c r="B29" s="34">
        <v>47.006782430274797</v>
      </c>
      <c r="C29" s="34">
        <v>99.070779329650193</v>
      </c>
      <c r="D29" s="34">
        <v>56.498661142001197</v>
      </c>
      <c r="E29" s="34">
        <v>81.731351318468896</v>
      </c>
      <c r="F29" s="34">
        <v>10.131033193002301</v>
      </c>
      <c r="G29" s="34">
        <v>4.7034842727947002</v>
      </c>
      <c r="H29" s="34">
        <v>51.086578541790502</v>
      </c>
      <c r="I29" s="34">
        <v>125.189989668902</v>
      </c>
      <c r="J29" s="34">
        <v>52.673784890545299</v>
      </c>
      <c r="K29" s="34">
        <v>36.042499999999997</v>
      </c>
      <c r="L29" s="34">
        <v>176.83250000000001</v>
      </c>
      <c r="M29" s="35">
        <v>4</v>
      </c>
      <c r="Q29" s="22"/>
    </row>
    <row r="30" spans="1:18" ht="16.5">
      <c r="A30" s="36" t="s">
        <v>88</v>
      </c>
      <c r="B30" s="34">
        <v>43.913385372507499</v>
      </c>
      <c r="C30" s="34">
        <v>98.690288931776706</v>
      </c>
      <c r="D30" s="34">
        <v>52.604673695329801</v>
      </c>
      <c r="E30" s="34">
        <v>82.185396588021305</v>
      </c>
      <c r="F30" s="34">
        <v>10.0505753834776</v>
      </c>
      <c r="G30" s="34">
        <v>4.5384544639566204</v>
      </c>
      <c r="H30" s="34">
        <v>51.044162169202899</v>
      </c>
      <c r="I30" s="34">
        <v>109.068098069415</v>
      </c>
      <c r="J30" s="34">
        <v>50.126528569719198</v>
      </c>
      <c r="K30" s="34">
        <v>89.162499999999994</v>
      </c>
      <c r="L30" s="34">
        <v>146.19499999999999</v>
      </c>
      <c r="M30" s="35">
        <v>4</v>
      </c>
      <c r="Q30" s="22"/>
    </row>
    <row r="31" spans="1:18" ht="16.5">
      <c r="A31" s="36" t="s">
        <v>89</v>
      </c>
      <c r="B31" s="34">
        <v>47.345523218915197</v>
      </c>
      <c r="C31" s="34">
        <v>98.755068095450198</v>
      </c>
      <c r="D31" s="34">
        <v>49.377151483298</v>
      </c>
      <c r="E31" s="34">
        <v>82.192933025405495</v>
      </c>
      <c r="F31" s="34">
        <v>10.62860494165</v>
      </c>
      <c r="G31" s="34">
        <v>4.9984439672984404</v>
      </c>
      <c r="H31" s="34">
        <v>49.9787647437998</v>
      </c>
      <c r="I31" s="34">
        <v>155.890393028749</v>
      </c>
      <c r="J31" s="34">
        <v>53.957139654739599</v>
      </c>
      <c r="K31" s="34">
        <v>64.022499999999994</v>
      </c>
      <c r="L31" s="34">
        <v>177.07749999999999</v>
      </c>
      <c r="M31" s="35">
        <v>4</v>
      </c>
      <c r="Q31" s="22"/>
    </row>
    <row r="32" spans="1:18" ht="16.5">
      <c r="A32" s="36" t="s">
        <v>90</v>
      </c>
      <c r="B32" s="34">
        <v>48.440470164330698</v>
      </c>
      <c r="C32" s="34">
        <v>98.461324868459997</v>
      </c>
      <c r="D32" s="34">
        <v>49.338481224194503</v>
      </c>
      <c r="E32" s="34">
        <v>82.250640481780493</v>
      </c>
      <c r="F32" s="34">
        <v>10.472063733676499</v>
      </c>
      <c r="G32" s="34">
        <v>4.8814407191137601</v>
      </c>
      <c r="H32" s="34">
        <v>51.112968289944497</v>
      </c>
      <c r="I32" s="34">
        <v>138.38171432464401</v>
      </c>
      <c r="J32" s="34">
        <v>60.564597864566601</v>
      </c>
      <c r="K32" s="34">
        <v>68.917500000000004</v>
      </c>
      <c r="L32" s="34">
        <v>172.9425</v>
      </c>
      <c r="M32" s="35">
        <v>4</v>
      </c>
      <c r="Q32" s="22"/>
    </row>
    <row r="33" spans="1:13">
      <c r="A33" s="36" t="s">
        <v>92</v>
      </c>
      <c r="B33" s="34">
        <v>50.034585962053697</v>
      </c>
      <c r="C33" s="34">
        <v>99.090220483332203</v>
      </c>
      <c r="D33" s="34">
        <v>52.7996606176035</v>
      </c>
      <c r="E33" s="34">
        <v>82.361899689162698</v>
      </c>
      <c r="F33" s="34">
        <v>10.5308064727757</v>
      </c>
      <c r="G33" s="34">
        <v>4.9094347528331799</v>
      </c>
      <c r="H33" s="34">
        <v>53.275981520959597</v>
      </c>
      <c r="I33" s="34">
        <v>128.26299140701099</v>
      </c>
      <c r="J33" s="34">
        <v>63.490291300993803</v>
      </c>
      <c r="K33" s="34">
        <v>24.6875</v>
      </c>
      <c r="L33" s="34">
        <v>185.2525</v>
      </c>
      <c r="M33" s="35">
        <v>4</v>
      </c>
    </row>
    <row r="34" spans="1:13">
      <c r="A34" s="36" t="s">
        <v>83</v>
      </c>
      <c r="B34" s="34">
        <v>46.652420380992901</v>
      </c>
      <c r="C34" s="34">
        <v>98.979961778001197</v>
      </c>
      <c r="D34" s="34">
        <v>52.242951096116101</v>
      </c>
      <c r="E34" s="34">
        <v>82.461660039787901</v>
      </c>
      <c r="F34" s="34">
        <v>10.192112529400299</v>
      </c>
      <c r="G34" s="34">
        <v>4.5843712862855499</v>
      </c>
      <c r="H34" s="34">
        <v>47.289797081326</v>
      </c>
      <c r="I34" s="34">
        <v>110.690614971678</v>
      </c>
      <c r="J34" s="34">
        <v>52.823093822913002</v>
      </c>
      <c r="K34" s="34">
        <v>107.324316085666</v>
      </c>
      <c r="L34" s="34">
        <v>172.59617647059</v>
      </c>
      <c r="M34" s="35">
        <v>2</v>
      </c>
    </row>
    <row r="35" spans="1:13">
      <c r="A35" s="36" t="s">
        <v>84</v>
      </c>
      <c r="B35" s="34">
        <v>47.945935062709097</v>
      </c>
      <c r="C35" s="34">
        <v>98.9566338651086</v>
      </c>
      <c r="D35" s="34">
        <v>51.428962362674397</v>
      </c>
      <c r="E35" s="34">
        <v>82.0830484765291</v>
      </c>
      <c r="F35" s="34">
        <v>9.9457655710649</v>
      </c>
      <c r="G35" s="34">
        <v>4.7193967981576197</v>
      </c>
      <c r="H35" s="34">
        <v>49.601310380187499</v>
      </c>
      <c r="I35" s="34">
        <v>128.83243449788799</v>
      </c>
      <c r="J35" s="34">
        <v>48.990080265007698</v>
      </c>
      <c r="K35" s="34">
        <v>76.784316085665196</v>
      </c>
      <c r="L35" s="34">
        <v>171.93117647058801</v>
      </c>
      <c r="M35" s="35">
        <v>2</v>
      </c>
    </row>
    <row r="36" spans="1:13">
      <c r="A36" s="36" t="s">
        <v>107</v>
      </c>
      <c r="B36" s="34">
        <v>44.806862194257803</v>
      </c>
      <c r="C36" s="34">
        <v>98.402608760830006</v>
      </c>
      <c r="D36" s="34">
        <v>43.472753203395698</v>
      </c>
      <c r="E36" s="34">
        <v>81.396860828228398</v>
      </c>
      <c r="F36" s="34">
        <v>10.1413305514185</v>
      </c>
      <c r="G36" s="34">
        <v>4.5714951235752004</v>
      </c>
      <c r="H36" s="34">
        <v>49.575677585896301</v>
      </c>
      <c r="I36" s="34">
        <v>116.79076900214</v>
      </c>
      <c r="J36" s="34">
        <v>65.148702223585801</v>
      </c>
      <c r="K36" s="34">
        <v>105.72750000000001</v>
      </c>
      <c r="L36" s="34">
        <v>157.72499999999999</v>
      </c>
      <c r="M36" s="35">
        <v>4</v>
      </c>
    </row>
    <row r="37" spans="1:13">
      <c r="A37" s="36" t="s">
        <v>108</v>
      </c>
      <c r="B37" s="34">
        <v>46.259942641915799</v>
      </c>
      <c r="C37" s="34">
        <v>98.342452478296195</v>
      </c>
      <c r="D37" s="34">
        <v>53.415557867228301</v>
      </c>
      <c r="E37" s="34">
        <v>81.788291254541804</v>
      </c>
      <c r="F37" s="34">
        <v>11.3953675466585</v>
      </c>
      <c r="G37" s="34">
        <v>4.7752897789300999</v>
      </c>
      <c r="H37" s="34">
        <v>45.744035125247002</v>
      </c>
      <c r="I37" s="34">
        <v>122.055512152003</v>
      </c>
      <c r="J37" s="34">
        <v>61.319122890195999</v>
      </c>
      <c r="K37" s="34">
        <v>121.17</v>
      </c>
      <c r="L37" s="34">
        <v>160.7775</v>
      </c>
      <c r="M37" s="35">
        <v>4</v>
      </c>
    </row>
    <row r="38" spans="1:13">
      <c r="A38" s="36" t="s">
        <v>109</v>
      </c>
      <c r="B38" s="34">
        <v>43.732415882178799</v>
      </c>
      <c r="C38" s="34">
        <v>97.871453253153305</v>
      </c>
      <c r="D38" s="34">
        <v>50.908051728773003</v>
      </c>
      <c r="E38" s="34">
        <v>81.619413503675801</v>
      </c>
      <c r="F38" s="34">
        <v>8.9057362805752298</v>
      </c>
      <c r="G38" s="34">
        <v>4.4532208211414597</v>
      </c>
      <c r="H38" s="34">
        <v>54.214185802068897</v>
      </c>
      <c r="I38" s="34">
        <v>137.00006741901399</v>
      </c>
      <c r="J38" s="34">
        <v>51.743831547901998</v>
      </c>
      <c r="K38" s="34">
        <v>47.009639674847598</v>
      </c>
      <c r="L38" s="34">
        <v>161.3775</v>
      </c>
      <c r="M38" s="35">
        <v>4</v>
      </c>
    </row>
    <row r="50" spans="7:7">
      <c r="G50" s="33"/>
    </row>
    <row r="51" spans="7:7">
      <c r="G51" s="33"/>
    </row>
    <row r="52" spans="7:7">
      <c r="G52" s="33"/>
    </row>
    <row r="53" spans="7:7">
      <c r="G53" s="33"/>
    </row>
    <row r="55" spans="7:7">
      <c r="G55" s="33"/>
    </row>
    <row r="56" spans="7:7">
      <c r="G56" s="33"/>
    </row>
  </sheetData>
  <mergeCells count="1">
    <mergeCell ref="A2:A3"/>
  </mergeCells>
  <conditionalFormatting sqref="H5:H38">
    <cfRule type="colorScale" priority="1">
      <colorScale>
        <cfvo type="min"/>
        <cfvo type="max"/>
        <color theme="9"/>
        <color theme="7" tint="0.59999389629810485"/>
      </colorScale>
    </cfRule>
    <cfRule type="cellIs" priority="2" operator="between">
      <formula>35</formula>
      <formula>45</formula>
    </cfRule>
  </conditionalFormatting>
  <conditionalFormatting sqref="I5:I38">
    <cfRule type="cellIs" dxfId="3" priority="3" operator="between">
      <formula>110</formula>
      <formula>150</formula>
    </cfRule>
  </conditionalFormatting>
  <conditionalFormatting sqref="J5:J38">
    <cfRule type="cellIs" dxfId="2" priority="4" operator="between">
      <formula>40</formula>
      <formula>70</formula>
    </cfRule>
  </conditionalFormatting>
  <conditionalFormatting sqref="K5:K38">
    <cfRule type="cellIs" dxfId="1" priority="5" operator="between">
      <formula>0</formula>
      <formula>100</formula>
    </cfRule>
  </conditionalFormatting>
  <conditionalFormatting sqref="L5:L38">
    <cfRule type="cellIs" dxfId="0" priority="6" operator="between">
      <formula>140</formula>
      <formula>190</formula>
    </cfRule>
  </conditionalFormatting>
  <conditionalFormatting sqref="N4:N38">
    <cfRule type="cellIs" priority="7" operator="between">
      <formula>140</formula>
      <formula>190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E2BE-AA9B-4B5F-849D-22AD40C1CCEB}">
  <dimension ref="A1:P89"/>
  <sheetViews>
    <sheetView zoomScale="70" zoomScaleNormal="70" workbookViewId="0">
      <selection activeCell="P2" sqref="P2:P9"/>
    </sheetView>
  </sheetViews>
  <sheetFormatPr defaultRowHeight="15.5"/>
  <cols>
    <col min="2" max="3" width="12.33203125" bestFit="1" customWidth="1"/>
    <col min="4" max="4" width="11.75" bestFit="1" customWidth="1"/>
    <col min="5" max="5" width="17.08203125" bestFit="1" customWidth="1"/>
    <col min="6" max="6" width="11.75" bestFit="1" customWidth="1"/>
    <col min="7" max="7" width="13.83203125" bestFit="1" customWidth="1"/>
    <col min="8" max="8" width="8.9140625" customWidth="1"/>
    <col min="9" max="9" width="15.83203125" bestFit="1" customWidth="1"/>
  </cols>
  <sheetData>
    <row r="1" spans="1:16">
      <c r="A1" s="54" t="s">
        <v>193</v>
      </c>
      <c r="B1" s="55"/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12</v>
      </c>
      <c r="H1" s="29" t="s">
        <v>14</v>
      </c>
      <c r="I1" s="29"/>
      <c r="J1" s="29"/>
      <c r="K1" s="29" t="s">
        <v>15</v>
      </c>
      <c r="L1" s="29" t="s">
        <v>16</v>
      </c>
      <c r="M1" s="29"/>
      <c r="N1" s="30"/>
    </row>
    <row r="2" spans="1:16" ht="16.5">
      <c r="A2" s="56"/>
      <c r="B2" s="55"/>
      <c r="C2" s="29" t="s">
        <v>19</v>
      </c>
      <c r="D2" s="29" t="s">
        <v>20</v>
      </c>
      <c r="E2" s="29" t="s">
        <v>21</v>
      </c>
      <c r="F2" s="29" t="s">
        <v>22</v>
      </c>
      <c r="G2" s="29" t="s">
        <v>23</v>
      </c>
      <c r="H2" s="29" t="s">
        <v>23</v>
      </c>
      <c r="I2" s="29" t="s">
        <v>24</v>
      </c>
      <c r="J2" s="29" t="s">
        <v>25</v>
      </c>
      <c r="K2" s="29" t="s">
        <v>26</v>
      </c>
      <c r="L2" s="29" t="s">
        <v>27</v>
      </c>
      <c r="M2" s="29" t="s">
        <v>28</v>
      </c>
      <c r="N2" s="30"/>
      <c r="P2" s="22" t="s">
        <v>73</v>
      </c>
    </row>
    <row r="3" spans="1:16" ht="16.5">
      <c r="B3" s="33" t="s">
        <v>82</v>
      </c>
      <c r="C3" s="29" t="s">
        <v>31</v>
      </c>
      <c r="D3" s="29" t="s">
        <v>32</v>
      </c>
      <c r="E3" s="29" t="s">
        <v>33</v>
      </c>
      <c r="F3" s="29" t="s">
        <v>32</v>
      </c>
      <c r="G3" s="29" t="s">
        <v>32</v>
      </c>
      <c r="H3" s="29" t="s">
        <v>32</v>
      </c>
      <c r="I3" s="29" t="s">
        <v>32</v>
      </c>
      <c r="J3" s="29" t="s">
        <v>35</v>
      </c>
      <c r="K3" s="29" t="s">
        <v>36</v>
      </c>
      <c r="L3" s="29" t="s">
        <v>37</v>
      </c>
      <c r="M3" s="29" t="s">
        <v>37</v>
      </c>
      <c r="N3" s="31"/>
      <c r="P3" s="22" t="s">
        <v>74</v>
      </c>
    </row>
    <row r="4" spans="1:16" ht="16.5">
      <c r="A4">
        <v>54</v>
      </c>
      <c r="B4" s="33" t="s">
        <v>91</v>
      </c>
      <c r="C4" s="48">
        <v>45.150793233109901</v>
      </c>
      <c r="D4" s="48">
        <v>98.769985042697201</v>
      </c>
      <c r="E4" s="48">
        <v>47.416669447417902</v>
      </c>
      <c r="F4" s="48">
        <v>80.871391675405107</v>
      </c>
      <c r="G4" s="48">
        <v>10.746076474040899</v>
      </c>
      <c r="H4" s="48">
        <v>5.4285373525487701</v>
      </c>
      <c r="I4" s="48">
        <v>53.308172663826802</v>
      </c>
      <c r="J4" s="48">
        <v>158.332971627479</v>
      </c>
      <c r="K4" s="48">
        <v>63.839264666845501</v>
      </c>
      <c r="L4" s="48">
        <v>112.79785537095999</v>
      </c>
      <c r="M4" s="48">
        <v>195.55304103651099</v>
      </c>
      <c r="N4" t="s">
        <v>192</v>
      </c>
      <c r="P4" s="22" t="s">
        <v>75</v>
      </c>
    </row>
    <row r="5" spans="1:16" ht="16.5">
      <c r="A5">
        <v>60</v>
      </c>
      <c r="B5" s="33" t="s">
        <v>93</v>
      </c>
      <c r="C5" s="48">
        <v>44.392864309015401</v>
      </c>
      <c r="D5" s="48">
        <v>98.671293210213406</v>
      </c>
      <c r="E5" s="48">
        <v>43.129952108739602</v>
      </c>
      <c r="F5" s="48">
        <v>81.575456146831499</v>
      </c>
      <c r="G5" s="48">
        <v>9.2735072605590805</v>
      </c>
      <c r="H5" s="48">
        <v>5.2208232369932999</v>
      </c>
      <c r="I5" s="48">
        <v>58.786225028549602</v>
      </c>
      <c r="J5" s="49">
        <v>122.352376744184</v>
      </c>
      <c r="K5" s="48">
        <v>51.250169926941197</v>
      </c>
      <c r="L5" s="49">
        <v>63.5375057370726</v>
      </c>
      <c r="M5" s="49">
        <v>168.12461244947301</v>
      </c>
      <c r="N5" t="s">
        <v>192</v>
      </c>
      <c r="P5" s="22" t="s">
        <v>76</v>
      </c>
    </row>
    <row r="6" spans="1:16" ht="16.5">
      <c r="A6">
        <v>61</v>
      </c>
      <c r="B6" s="33" t="s">
        <v>94</v>
      </c>
      <c r="C6" s="48">
        <v>43.651095300573999</v>
      </c>
      <c r="D6" s="48">
        <v>98.123256280198902</v>
      </c>
      <c r="E6" s="48">
        <v>43.233885894422201</v>
      </c>
      <c r="F6" s="48">
        <v>81.47193168938</v>
      </c>
      <c r="G6" s="48">
        <v>9.5030321365096402</v>
      </c>
      <c r="H6" s="48">
        <v>5.2452993169958297</v>
      </c>
      <c r="I6" s="48">
        <v>58.277944868232701</v>
      </c>
      <c r="J6" s="49">
        <v>121.885093545345</v>
      </c>
      <c r="K6" s="48">
        <v>51.186789037292101</v>
      </c>
      <c r="L6" s="49">
        <v>71.258315802838595</v>
      </c>
      <c r="M6" s="49">
        <v>167.34308739994799</v>
      </c>
      <c r="N6" t="s">
        <v>192</v>
      </c>
      <c r="P6" s="22" t="s">
        <v>77</v>
      </c>
    </row>
    <row r="7" spans="1:16" ht="16.5">
      <c r="A7">
        <v>62</v>
      </c>
      <c r="B7" s="33" t="s">
        <v>42</v>
      </c>
      <c r="C7" s="48">
        <v>44.022144318956798</v>
      </c>
      <c r="D7" s="48">
        <v>98.794569957269005</v>
      </c>
      <c r="E7" s="48">
        <v>44.250813931469096</v>
      </c>
      <c r="F7" s="48">
        <v>81.067439187593806</v>
      </c>
      <c r="G7" s="48">
        <v>9.7879555023090905</v>
      </c>
      <c r="H7" s="48">
        <v>4.9756023142505299</v>
      </c>
      <c r="I7" s="48">
        <v>53.662229285917199</v>
      </c>
      <c r="J7" s="49">
        <v>132.78961918127001</v>
      </c>
      <c r="K7" s="48">
        <v>43.692085322411998</v>
      </c>
      <c r="L7" s="49">
        <v>64.342347517263093</v>
      </c>
      <c r="M7" s="49">
        <v>161.61854968735901</v>
      </c>
      <c r="N7" t="s">
        <v>192</v>
      </c>
      <c r="P7" s="22" t="s">
        <v>78</v>
      </c>
    </row>
    <row r="8" spans="1:16" ht="16.5">
      <c r="A8">
        <v>64</v>
      </c>
      <c r="B8" s="33" t="s">
        <v>96</v>
      </c>
      <c r="C8" s="48">
        <v>46.005444755930803</v>
      </c>
      <c r="D8" s="48">
        <v>98.0383789639844</v>
      </c>
      <c r="E8" s="48">
        <v>43.441538830252199</v>
      </c>
      <c r="F8" s="48">
        <v>81.091482368616198</v>
      </c>
      <c r="G8" s="48">
        <v>9.7135037178043895</v>
      </c>
      <c r="H8" s="48">
        <v>5.0049011154533796</v>
      </c>
      <c r="I8" s="48">
        <v>54.6859181491266</v>
      </c>
      <c r="J8" s="49">
        <v>124.114586418485</v>
      </c>
      <c r="K8" s="48">
        <v>52.096889307643799</v>
      </c>
      <c r="L8" s="49">
        <v>56.3541435914441</v>
      </c>
      <c r="M8" s="49">
        <v>171.25516378711899</v>
      </c>
      <c r="N8" t="s">
        <v>192</v>
      </c>
      <c r="P8" s="22" t="s">
        <v>79</v>
      </c>
    </row>
    <row r="9" spans="1:16" ht="16.5">
      <c r="A9">
        <v>70</v>
      </c>
      <c r="B9" s="33" t="s">
        <v>100</v>
      </c>
      <c r="C9" s="48">
        <v>45.224526979808097</v>
      </c>
      <c r="D9" s="48">
        <v>98.060373358011105</v>
      </c>
      <c r="E9" s="48">
        <v>42.148980892647302</v>
      </c>
      <c r="F9" s="48">
        <v>81.272430605361805</v>
      </c>
      <c r="G9" s="48">
        <v>9.5427859992822608</v>
      </c>
      <c r="H9" s="48">
        <v>5.0347179274004796</v>
      </c>
      <c r="I9" s="48">
        <v>56.002765172879997</v>
      </c>
      <c r="J9" s="49">
        <v>133.571873806323</v>
      </c>
      <c r="K9" s="48">
        <v>56.968725335693399</v>
      </c>
      <c r="L9" s="49">
        <v>57.2574056872567</v>
      </c>
      <c r="M9" s="49">
        <v>163.63941006049001</v>
      </c>
      <c r="N9" t="s">
        <v>192</v>
      </c>
      <c r="P9" s="22" t="s">
        <v>80</v>
      </c>
    </row>
    <row r="10" spans="1:16">
      <c r="A10">
        <v>1</v>
      </c>
      <c r="B10" t="s">
        <v>116</v>
      </c>
      <c r="C10" s="47">
        <v>44.001799011772199</v>
      </c>
      <c r="D10" s="47">
        <v>98.613919140600004</v>
      </c>
      <c r="E10" s="47">
        <v>48.727798547138001</v>
      </c>
      <c r="F10" s="47">
        <v>81.552638163349698</v>
      </c>
      <c r="G10" s="47">
        <v>9.5355394339728203</v>
      </c>
      <c r="H10" s="47">
        <v>4.8504109624030702</v>
      </c>
      <c r="I10" s="47">
        <v>53.587226300214503</v>
      </c>
      <c r="J10" s="47">
        <v>141.82573851824301</v>
      </c>
      <c r="K10" s="47">
        <v>57.814038751582999</v>
      </c>
      <c r="L10" s="47">
        <v>50.3492241844232</v>
      </c>
      <c r="M10" s="47">
        <v>157.00714811654001</v>
      </c>
    </row>
    <row r="11" spans="1:16">
      <c r="A11">
        <v>2</v>
      </c>
      <c r="B11" t="s">
        <v>117</v>
      </c>
      <c r="C11" s="47">
        <v>41.7780766051916</v>
      </c>
      <c r="D11" s="47">
        <v>98.485173276136095</v>
      </c>
      <c r="E11" s="47">
        <v>46.038999778304699</v>
      </c>
      <c r="F11" s="47">
        <v>81.3575108880068</v>
      </c>
      <c r="G11" s="47">
        <v>9.41151524048826</v>
      </c>
      <c r="H11" s="47">
        <v>4.6003019810675498</v>
      </c>
      <c r="I11" s="47">
        <v>52.242063331835702</v>
      </c>
      <c r="J11" s="47">
        <v>132.45131029010199</v>
      </c>
      <c r="K11" s="47">
        <v>56.134416522248401</v>
      </c>
      <c r="L11" s="47">
        <v>50.9288918277175</v>
      </c>
      <c r="M11" s="47">
        <v>148.87529727300401</v>
      </c>
    </row>
    <row r="12" spans="1:16">
      <c r="A12">
        <v>3</v>
      </c>
      <c r="B12" t="s">
        <v>118</v>
      </c>
      <c r="C12" s="47">
        <v>44.203006374235898</v>
      </c>
      <c r="D12" s="47">
        <v>98.946782695829995</v>
      </c>
      <c r="E12" s="47">
        <v>47.580958683477903</v>
      </c>
      <c r="F12" s="47">
        <v>81.423897759830197</v>
      </c>
      <c r="G12" s="47">
        <v>9.8255841935413795</v>
      </c>
      <c r="H12" s="47">
        <v>4.8602576830616702</v>
      </c>
      <c r="I12" s="47">
        <v>52.176858906858797</v>
      </c>
      <c r="J12" s="47">
        <v>142.53483322666199</v>
      </c>
      <c r="K12" s="47">
        <v>60.251721107182902</v>
      </c>
      <c r="L12" s="47">
        <v>52.956186917139398</v>
      </c>
      <c r="M12" s="47">
        <v>167.90174086444799</v>
      </c>
    </row>
    <row r="13" spans="1:16">
      <c r="A13">
        <v>4</v>
      </c>
      <c r="B13" t="s">
        <v>119</v>
      </c>
      <c r="C13" s="47">
        <v>43.397713999199901</v>
      </c>
      <c r="D13" s="47">
        <v>98.461661528722601</v>
      </c>
      <c r="E13" s="47">
        <v>49.201274090551799</v>
      </c>
      <c r="F13" s="47">
        <v>81.538036745106695</v>
      </c>
      <c r="G13" s="47">
        <v>9.5187603556184097</v>
      </c>
      <c r="H13" s="47">
        <v>4.8417442113954303</v>
      </c>
      <c r="I13" s="47">
        <v>53.9876820019335</v>
      </c>
      <c r="J13" s="47">
        <v>125.772804646401</v>
      </c>
      <c r="K13" s="47">
        <v>58.208384268122202</v>
      </c>
      <c r="L13" s="47">
        <v>46.069392584166799</v>
      </c>
      <c r="M13" s="47">
        <v>148.14897063494101</v>
      </c>
    </row>
    <row r="14" spans="1:16">
      <c r="A14">
        <v>5</v>
      </c>
      <c r="B14" t="s">
        <v>120</v>
      </c>
      <c r="C14" s="47">
        <v>43.901058754932997</v>
      </c>
      <c r="D14" s="47">
        <v>99.072330412000795</v>
      </c>
      <c r="E14" s="47">
        <v>48.765050930509801</v>
      </c>
      <c r="F14" s="47">
        <v>81.383123049491104</v>
      </c>
      <c r="G14" s="47">
        <v>10.099651884178099</v>
      </c>
      <c r="H14" s="47">
        <v>4.9272635665166202</v>
      </c>
      <c r="I14" s="47">
        <v>51.1845810336158</v>
      </c>
      <c r="J14" s="47">
        <v>144.174737044637</v>
      </c>
      <c r="K14" s="47">
        <v>56.991845553795798</v>
      </c>
      <c r="L14" s="47">
        <v>89.268611131619494</v>
      </c>
      <c r="M14" s="47">
        <v>155.65412726410901</v>
      </c>
    </row>
    <row r="15" spans="1:16">
      <c r="A15">
        <v>6</v>
      </c>
      <c r="B15" t="s">
        <v>121</v>
      </c>
      <c r="C15" s="47">
        <v>43.9990628646826</v>
      </c>
      <c r="D15" s="47">
        <v>98.673033455272304</v>
      </c>
      <c r="E15" s="47">
        <v>47.731974021636702</v>
      </c>
      <c r="F15" s="47">
        <v>81.4455573696725</v>
      </c>
      <c r="G15" s="47">
        <v>9.99283275969219</v>
      </c>
      <c r="H15" s="47">
        <v>4.9702127708756203</v>
      </c>
      <c r="I15" s="47">
        <v>51.981792429874901</v>
      </c>
      <c r="J15" s="47">
        <v>143.92036909247</v>
      </c>
      <c r="K15" s="47">
        <v>58.568636615053698</v>
      </c>
      <c r="L15" s="47">
        <v>78.974357030515193</v>
      </c>
      <c r="M15" s="47">
        <v>164.830783789674</v>
      </c>
    </row>
    <row r="16" spans="1:16">
      <c r="A16">
        <v>7</v>
      </c>
      <c r="B16" t="s">
        <v>122</v>
      </c>
      <c r="C16" s="47">
        <v>44.276865304002698</v>
      </c>
      <c r="D16" s="47">
        <v>98.860354108504197</v>
      </c>
      <c r="E16" s="47">
        <v>47.018683522625899</v>
      </c>
      <c r="F16" s="47">
        <v>81.480067583357197</v>
      </c>
      <c r="G16" s="47">
        <v>9.6010665259558508</v>
      </c>
      <c r="H16" s="47">
        <v>4.9474078786729496</v>
      </c>
      <c r="I16" s="47">
        <v>54.496739653526902</v>
      </c>
      <c r="J16" s="47">
        <v>149.523436612616</v>
      </c>
      <c r="K16" s="47">
        <v>64.135500016642993</v>
      </c>
      <c r="L16" s="47">
        <v>50.842977333616901</v>
      </c>
      <c r="M16" s="47">
        <v>152.55792930775101</v>
      </c>
    </row>
    <row r="17" spans="1:13">
      <c r="A17">
        <v>8</v>
      </c>
      <c r="B17" t="s">
        <v>123</v>
      </c>
      <c r="C17" s="47">
        <v>44.862647159749798</v>
      </c>
      <c r="D17" s="47">
        <v>98.880649997626193</v>
      </c>
      <c r="E17" s="47">
        <v>46.375772385736298</v>
      </c>
      <c r="F17" s="47">
        <v>81.526522531187894</v>
      </c>
      <c r="G17" s="47">
        <v>9.7084598844045598</v>
      </c>
      <c r="H17" s="47">
        <v>4.90162758459903</v>
      </c>
      <c r="I17" s="47">
        <v>53.434050147068803</v>
      </c>
      <c r="J17" s="47">
        <v>142.10820701936899</v>
      </c>
      <c r="K17" s="47">
        <v>55.5193594671413</v>
      </c>
      <c r="L17" s="47">
        <v>55.087116539577202</v>
      </c>
      <c r="M17" s="47">
        <v>151.51704458914699</v>
      </c>
    </row>
    <row r="18" spans="1:13">
      <c r="A18">
        <v>9</v>
      </c>
      <c r="B18" t="s">
        <v>124</v>
      </c>
      <c r="C18" s="47">
        <v>43.2378887260734</v>
      </c>
      <c r="D18" s="47">
        <v>98.919640876946701</v>
      </c>
      <c r="E18" s="47">
        <v>49.443777127763603</v>
      </c>
      <c r="F18" s="47">
        <v>81.6445093378655</v>
      </c>
      <c r="G18" s="47">
        <v>9.7672679606475103</v>
      </c>
      <c r="H18" s="47">
        <v>4.8911483637293802</v>
      </c>
      <c r="I18" s="47">
        <v>52.841010428963003</v>
      </c>
      <c r="J18" s="47">
        <v>151.93877463312501</v>
      </c>
      <c r="K18" s="47">
        <v>61.766239338326002</v>
      </c>
      <c r="L18" s="47">
        <v>64.801915384684904</v>
      </c>
      <c r="M18" s="47">
        <v>162.15064353689999</v>
      </c>
    </row>
    <row r="19" spans="1:13">
      <c r="A19">
        <v>10</v>
      </c>
      <c r="B19" t="s">
        <v>125</v>
      </c>
      <c r="C19" s="47">
        <v>44.600671622479702</v>
      </c>
      <c r="D19" s="47">
        <v>98.8749261255617</v>
      </c>
      <c r="E19" s="47">
        <v>48.246696509799101</v>
      </c>
      <c r="F19" s="47">
        <v>81.230713112033101</v>
      </c>
      <c r="G19" s="47">
        <v>9.9994985524022706</v>
      </c>
      <c r="H19" s="47">
        <v>5.0128127101699604</v>
      </c>
      <c r="I19" s="47">
        <v>52.515376566541001</v>
      </c>
      <c r="J19" s="47">
        <v>144.997624338088</v>
      </c>
      <c r="K19" s="47">
        <v>59.393447277932999</v>
      </c>
      <c r="L19" s="47">
        <v>62.187116687372601</v>
      </c>
      <c r="M19" s="47">
        <v>169.27317659094001</v>
      </c>
    </row>
    <row r="20" spans="1:13">
      <c r="A20">
        <v>11</v>
      </c>
      <c r="B20" t="s">
        <v>126</v>
      </c>
      <c r="C20" s="47">
        <v>43.689066382431498</v>
      </c>
      <c r="D20" s="47">
        <v>97.941768961465002</v>
      </c>
      <c r="E20" s="47">
        <v>47.362289581421201</v>
      </c>
      <c r="F20" s="47">
        <v>81.516012713451502</v>
      </c>
      <c r="G20" s="47">
        <v>9.7884545056269392</v>
      </c>
      <c r="H20" s="47">
        <v>5.0008739756632501</v>
      </c>
      <c r="I20" s="47">
        <v>54.426444335070997</v>
      </c>
      <c r="J20" s="47">
        <v>143.04128587232699</v>
      </c>
      <c r="K20" s="47">
        <v>61.188422145769898</v>
      </c>
      <c r="L20" s="47">
        <v>52.218823429371298</v>
      </c>
      <c r="M20" s="47">
        <v>177.54468708888601</v>
      </c>
    </row>
    <row r="21" spans="1:13">
      <c r="A21">
        <v>12</v>
      </c>
      <c r="B21" t="s">
        <v>127</v>
      </c>
      <c r="C21" s="47">
        <v>45.144030794328003</v>
      </c>
      <c r="D21" s="47">
        <v>98.930593951717995</v>
      </c>
      <c r="E21" s="47">
        <v>48.575029166166601</v>
      </c>
      <c r="F21" s="47">
        <v>81.475705091654206</v>
      </c>
      <c r="G21" s="47">
        <v>9.9547884709778707</v>
      </c>
      <c r="H21" s="47">
        <v>4.9583941878655198</v>
      </c>
      <c r="I21" s="47">
        <v>52.486552615127501</v>
      </c>
      <c r="J21" s="47">
        <v>139.54785269304901</v>
      </c>
      <c r="K21" s="47">
        <v>60.160247720144199</v>
      </c>
      <c r="L21" s="47">
        <v>65.660971675797896</v>
      </c>
      <c r="M21" s="47">
        <v>170.16039852057099</v>
      </c>
    </row>
    <row r="22" spans="1:13">
      <c r="A22">
        <v>13</v>
      </c>
      <c r="B22" t="s">
        <v>128</v>
      </c>
      <c r="C22" s="47">
        <v>45.233148233146302</v>
      </c>
      <c r="D22" s="47">
        <v>98.996186372427402</v>
      </c>
      <c r="E22" s="47">
        <v>48.710712450933698</v>
      </c>
      <c r="F22" s="47">
        <v>81.288496754573799</v>
      </c>
      <c r="G22" s="47">
        <v>10.122668316178</v>
      </c>
      <c r="H22" s="47">
        <v>5.0028533822740799</v>
      </c>
      <c r="I22" s="47">
        <v>51.769088257955403</v>
      </c>
      <c r="J22" s="47">
        <v>132.36466827471901</v>
      </c>
      <c r="K22" s="47">
        <v>59.836403353688603</v>
      </c>
      <c r="L22" s="47">
        <v>83.639030114447607</v>
      </c>
      <c r="M22" s="47">
        <v>149.102698342895</v>
      </c>
    </row>
    <row r="23" spans="1:13">
      <c r="A23">
        <v>14</v>
      </c>
      <c r="B23" t="s">
        <v>129</v>
      </c>
      <c r="C23" s="47">
        <v>46.424298983786102</v>
      </c>
      <c r="D23" s="47">
        <v>98.869016605412398</v>
      </c>
      <c r="E23" s="47">
        <v>50.415015840942701</v>
      </c>
      <c r="F23" s="47">
        <v>81.579228937808693</v>
      </c>
      <c r="G23" s="47">
        <v>10.187293768905301</v>
      </c>
      <c r="H23" s="47">
        <v>5.0291505394909599</v>
      </c>
      <c r="I23" s="47">
        <v>52.739794342024297</v>
      </c>
      <c r="J23" s="47">
        <v>129.53083351440401</v>
      </c>
      <c r="K23" s="47">
        <v>58.269492908587701</v>
      </c>
      <c r="L23" s="47">
        <v>104.74495335392299</v>
      </c>
      <c r="M23" s="47">
        <v>164.63879894422399</v>
      </c>
    </row>
    <row r="24" spans="1:13">
      <c r="A24">
        <v>15</v>
      </c>
      <c r="B24" t="s">
        <v>130</v>
      </c>
      <c r="C24" s="47">
        <v>49.1941784269438</v>
      </c>
      <c r="D24" s="47">
        <v>99.069667559245104</v>
      </c>
      <c r="E24" s="47">
        <v>49.164918774917098</v>
      </c>
      <c r="F24" s="47">
        <v>80.898202759241897</v>
      </c>
      <c r="G24" s="47">
        <v>10.5988320714807</v>
      </c>
      <c r="H24" s="47">
        <v>5.2881505893879099</v>
      </c>
      <c r="I24" s="47">
        <v>51.939331206773304</v>
      </c>
      <c r="J24" s="47">
        <v>140.43587131224399</v>
      </c>
      <c r="K24" s="47">
        <v>52.157631972670004</v>
      </c>
      <c r="L24" s="47">
        <v>72.4097142216945</v>
      </c>
      <c r="M24" s="47">
        <v>179.582141998791</v>
      </c>
    </row>
    <row r="25" spans="1:13">
      <c r="A25">
        <v>16</v>
      </c>
      <c r="B25" t="s">
        <v>131</v>
      </c>
      <c r="C25" s="47">
        <v>49.1749896493791</v>
      </c>
      <c r="D25" s="47">
        <v>99.190269204442998</v>
      </c>
      <c r="E25" s="47">
        <v>48.5233818662308</v>
      </c>
      <c r="F25" s="47">
        <v>81.143721527326505</v>
      </c>
      <c r="G25" s="47">
        <v>10.469370723651499</v>
      </c>
      <c r="H25" s="47">
        <v>5.10807404107726</v>
      </c>
      <c r="I25" s="47">
        <v>52.198108744673597</v>
      </c>
      <c r="J25" s="47">
        <v>133.38877523787701</v>
      </c>
      <c r="K25" s="47">
        <v>61.162702660991698</v>
      </c>
      <c r="L25" s="47">
        <v>73.167141448118102</v>
      </c>
      <c r="M25" s="47">
        <v>170.601691661991</v>
      </c>
    </row>
    <row r="26" spans="1:13">
      <c r="A26">
        <v>17</v>
      </c>
      <c r="B26" t="s">
        <v>132</v>
      </c>
      <c r="C26" s="47">
        <v>43.583956106658903</v>
      </c>
      <c r="D26" s="47">
        <v>98.883924481297996</v>
      </c>
      <c r="E26" s="47">
        <v>46.2591312909016</v>
      </c>
      <c r="F26" s="47">
        <v>81.328174529733005</v>
      </c>
      <c r="G26" s="47">
        <v>9.8829840389128201</v>
      </c>
      <c r="H26" s="47">
        <v>4.8821628843327902</v>
      </c>
      <c r="I26" s="47">
        <v>52.259041128762398</v>
      </c>
      <c r="J26" s="47">
        <v>135.15353993578401</v>
      </c>
      <c r="K26" s="47">
        <v>59.464724274842297</v>
      </c>
      <c r="L26" s="47">
        <v>62.691539889627599</v>
      </c>
      <c r="M26" s="47">
        <v>164.66323964082301</v>
      </c>
    </row>
    <row r="27" spans="1:13">
      <c r="A27">
        <v>18</v>
      </c>
      <c r="B27" t="s">
        <v>133</v>
      </c>
      <c r="C27" s="47">
        <v>39.896203722768497</v>
      </c>
      <c r="D27" s="47">
        <v>97.923836649157707</v>
      </c>
      <c r="E27" s="47">
        <v>47.850147247859901</v>
      </c>
      <c r="F27" s="47">
        <v>81.278937845981105</v>
      </c>
      <c r="G27" s="47">
        <v>9.8937639004405806</v>
      </c>
      <c r="H27" s="47">
        <v>4.9996473719654704</v>
      </c>
      <c r="I27" s="47">
        <v>53.085436234880198</v>
      </c>
      <c r="J27" s="47">
        <v>146.83577476526801</v>
      </c>
      <c r="K27" s="47">
        <v>61.651735817352602</v>
      </c>
      <c r="L27" s="47">
        <v>35.689071970756402</v>
      </c>
      <c r="M27" s="47">
        <v>178.86683434226501</v>
      </c>
    </row>
    <row r="28" spans="1:13">
      <c r="A28">
        <v>19</v>
      </c>
      <c r="B28" t="s">
        <v>134</v>
      </c>
      <c r="C28" s="47">
        <v>43.309054548596698</v>
      </c>
      <c r="D28" s="47">
        <v>98.415539760932106</v>
      </c>
      <c r="E28" s="47">
        <v>48.225971270261702</v>
      </c>
      <c r="F28" s="47">
        <v>81.960593156861094</v>
      </c>
      <c r="G28" s="47">
        <v>9.4342774689690607</v>
      </c>
      <c r="H28" s="47">
        <v>5.0173025229418302</v>
      </c>
      <c r="I28" s="47">
        <v>56.031031365017803</v>
      </c>
      <c r="J28" s="47">
        <v>140.51695529141901</v>
      </c>
      <c r="K28" s="47">
        <v>63.193134103320702</v>
      </c>
      <c r="L28" s="47">
        <v>52.772301875555101</v>
      </c>
      <c r="M28" s="47">
        <v>160.75009323458499</v>
      </c>
    </row>
    <row r="29" spans="1:13">
      <c r="A29">
        <v>20</v>
      </c>
      <c r="B29" t="s">
        <v>135</v>
      </c>
      <c r="C29" s="47">
        <v>43.965538091453602</v>
      </c>
      <c r="D29" s="47">
        <v>98.350603685263494</v>
      </c>
      <c r="E29" s="47">
        <v>46.653119135753499</v>
      </c>
      <c r="F29" s="47">
        <v>81.689696206384994</v>
      </c>
      <c r="G29" s="47">
        <v>9.41793131303438</v>
      </c>
      <c r="H29" s="47">
        <v>4.81317500933313</v>
      </c>
      <c r="I29" s="47">
        <v>53.6877413306146</v>
      </c>
      <c r="J29" s="47">
        <v>128.86623147831901</v>
      </c>
      <c r="K29" s="47">
        <v>57.871485317953201</v>
      </c>
      <c r="L29" s="47">
        <v>33.967469917636301</v>
      </c>
      <c r="M29" s="47">
        <v>173.01693310397101</v>
      </c>
    </row>
    <row r="30" spans="1:13">
      <c r="A30">
        <v>21</v>
      </c>
      <c r="B30" t="s">
        <v>136</v>
      </c>
      <c r="C30" s="47">
        <v>42.044411275670797</v>
      </c>
      <c r="D30" s="47">
        <v>98.191933572737796</v>
      </c>
      <c r="E30" s="47">
        <v>44.504630334978003</v>
      </c>
      <c r="F30" s="47">
        <v>81.542057162029394</v>
      </c>
      <c r="G30" s="47">
        <v>9.1056676342444192</v>
      </c>
      <c r="H30" s="47">
        <v>4.7136686951838804</v>
      </c>
      <c r="I30" s="47">
        <v>55.008218493292198</v>
      </c>
      <c r="J30" s="47">
        <v>114.671500413663</v>
      </c>
      <c r="K30" s="47">
        <v>53.256095011803403</v>
      </c>
      <c r="L30" s="47">
        <v>47.355553218093903</v>
      </c>
      <c r="M30" s="47">
        <v>146.90345072143899</v>
      </c>
    </row>
    <row r="31" spans="1:13">
      <c r="A31">
        <v>22</v>
      </c>
      <c r="B31" t="s">
        <v>137</v>
      </c>
      <c r="C31" s="47">
        <v>44.206563076555803</v>
      </c>
      <c r="D31" s="47">
        <v>98.837644169299693</v>
      </c>
      <c r="E31" s="47">
        <v>47.403073394322497</v>
      </c>
      <c r="F31" s="47">
        <v>81.383314204376404</v>
      </c>
      <c r="G31" s="47">
        <v>9.84003952710869</v>
      </c>
      <c r="H31" s="47">
        <v>4.8057959857412396</v>
      </c>
      <c r="I31" s="47">
        <v>51.5123456804805</v>
      </c>
      <c r="J31" s="47">
        <v>149.737621274839</v>
      </c>
      <c r="K31" s="47">
        <v>53.388817952543597</v>
      </c>
      <c r="L31" s="47">
        <v>73.131268127186303</v>
      </c>
      <c r="M31" s="47">
        <v>150.62184122183899</v>
      </c>
    </row>
    <row r="32" spans="1:13">
      <c r="A32">
        <v>23</v>
      </c>
      <c r="B32" t="s">
        <v>138</v>
      </c>
      <c r="C32" s="47">
        <v>42.364766228292702</v>
      </c>
      <c r="D32" s="47">
        <v>98.046972915400204</v>
      </c>
      <c r="E32" s="47">
        <v>47.333534227302501</v>
      </c>
      <c r="F32" s="47">
        <v>81.727502411743998</v>
      </c>
      <c r="G32" s="47">
        <v>9.6290381858464098</v>
      </c>
      <c r="H32" s="47">
        <v>4.89777518574593</v>
      </c>
      <c r="I32" s="47">
        <v>52.776265563815201</v>
      </c>
      <c r="J32" s="47">
        <v>127.831886363691</v>
      </c>
      <c r="K32" s="47">
        <v>60.2065980812514</v>
      </c>
      <c r="L32" s="47">
        <v>56.047180211870199</v>
      </c>
      <c r="M32" s="47">
        <v>182.42409605445201</v>
      </c>
    </row>
    <row r="33" spans="1:16">
      <c r="A33">
        <v>24</v>
      </c>
      <c r="B33" t="s">
        <v>139</v>
      </c>
      <c r="C33" s="47">
        <v>41.594877140774003</v>
      </c>
      <c r="D33" s="47">
        <v>98.514929774929897</v>
      </c>
      <c r="E33" s="47">
        <v>46.3820304525739</v>
      </c>
      <c r="F33" s="47">
        <v>81.406573708211496</v>
      </c>
      <c r="G33" s="47">
        <v>9.7289110150236908</v>
      </c>
      <c r="H33" s="47">
        <v>4.8137502076180603</v>
      </c>
      <c r="I33" s="47">
        <v>52.192177670511597</v>
      </c>
      <c r="J33" s="47">
        <v>137.36415654910701</v>
      </c>
      <c r="K33" s="47">
        <v>58.915491446732098</v>
      </c>
      <c r="L33" s="47">
        <v>46.300318550572399</v>
      </c>
      <c r="M33" s="47">
        <v>174.72216053139601</v>
      </c>
    </row>
    <row r="34" spans="1:16">
      <c r="A34">
        <v>25</v>
      </c>
      <c r="B34" t="s">
        <v>140</v>
      </c>
      <c r="C34" s="47">
        <v>44.462585802225497</v>
      </c>
      <c r="D34" s="47">
        <v>98.251954698913494</v>
      </c>
      <c r="E34" s="47">
        <v>46.5869235381655</v>
      </c>
      <c r="F34" s="47">
        <v>81.756620712464098</v>
      </c>
      <c r="G34" s="47">
        <v>9.5625210751619392</v>
      </c>
      <c r="H34" s="47">
        <v>4.9613335547981299</v>
      </c>
      <c r="I34" s="47">
        <v>54.118795754649703</v>
      </c>
      <c r="J34" s="47">
        <v>133.60566997518001</v>
      </c>
      <c r="K34" s="47">
        <v>58.489640995981198</v>
      </c>
      <c r="L34" s="47">
        <v>41.041288078494397</v>
      </c>
      <c r="M34" s="47">
        <v>181.893374269113</v>
      </c>
      <c r="P34" s="28"/>
    </row>
    <row r="35" spans="1:16">
      <c r="A35">
        <v>26</v>
      </c>
      <c r="B35" t="s">
        <v>141</v>
      </c>
      <c r="C35" s="47">
        <v>41.376009742614002</v>
      </c>
      <c r="D35" s="47">
        <v>98.2927322162531</v>
      </c>
      <c r="E35" s="47">
        <v>46.410854895016101</v>
      </c>
      <c r="F35" s="47">
        <v>81.282589459130904</v>
      </c>
      <c r="G35" s="47">
        <v>10.140237058715</v>
      </c>
      <c r="H35" s="47">
        <v>4.9586237839304301</v>
      </c>
      <c r="I35" s="47">
        <v>51.663643706657901</v>
      </c>
      <c r="J35" s="47">
        <v>136.57496976804299</v>
      </c>
      <c r="K35" s="47">
        <v>59.550949249891801</v>
      </c>
      <c r="L35" s="47">
        <v>69.805921029694105</v>
      </c>
      <c r="M35" s="47">
        <v>170.534284296034</v>
      </c>
      <c r="P35" s="28"/>
    </row>
    <row r="36" spans="1:16">
      <c r="A36">
        <v>27</v>
      </c>
      <c r="B36" t="s">
        <v>142</v>
      </c>
      <c r="C36" s="47">
        <v>42.517699619105898</v>
      </c>
      <c r="D36" s="47">
        <v>98.081869896509502</v>
      </c>
      <c r="E36" s="47">
        <v>47.837132748017702</v>
      </c>
      <c r="F36" s="47">
        <v>81.947591918315098</v>
      </c>
      <c r="G36" s="47">
        <v>9.3721922983952393</v>
      </c>
      <c r="H36" s="47">
        <v>5.0994848008387601</v>
      </c>
      <c r="I36" s="47">
        <v>56.826877345640497</v>
      </c>
      <c r="J36" s="47">
        <v>137.02021913323</v>
      </c>
      <c r="K36" s="47">
        <v>66.263616889469205</v>
      </c>
      <c r="L36" s="47">
        <v>48.736439433367202</v>
      </c>
      <c r="M36" s="47">
        <v>164.77530116103301</v>
      </c>
      <c r="P36" s="32"/>
    </row>
    <row r="37" spans="1:16">
      <c r="A37">
        <v>28</v>
      </c>
      <c r="B37" t="s">
        <v>143</v>
      </c>
      <c r="C37" s="47">
        <v>40.5074617594708</v>
      </c>
      <c r="D37" s="47">
        <v>98.105965539618495</v>
      </c>
      <c r="E37" s="47">
        <v>45.698523096901603</v>
      </c>
      <c r="F37" s="47">
        <v>81.412569262456898</v>
      </c>
      <c r="G37" s="47">
        <v>9.3178611746008908</v>
      </c>
      <c r="H37" s="47">
        <v>4.5665408200317303</v>
      </c>
      <c r="I37" s="47">
        <v>52.371439949815702</v>
      </c>
      <c r="J37" s="47">
        <v>121.04200992849</v>
      </c>
      <c r="K37" s="47">
        <v>53.902490506758902</v>
      </c>
      <c r="L37" s="47">
        <v>61.778277393537799</v>
      </c>
      <c r="M37" s="47">
        <v>145.05729876113799</v>
      </c>
      <c r="P37" s="28"/>
    </row>
    <row r="38" spans="1:16">
      <c r="A38">
        <v>29</v>
      </c>
      <c r="B38" t="s">
        <v>144</v>
      </c>
      <c r="C38" s="47">
        <v>45.502505746350998</v>
      </c>
      <c r="D38" s="47">
        <v>98.544313618208605</v>
      </c>
      <c r="E38" s="47">
        <v>46.322705906723201</v>
      </c>
      <c r="F38" s="47">
        <v>81.558232290125602</v>
      </c>
      <c r="G38" s="47">
        <v>9.33143583522806</v>
      </c>
      <c r="H38" s="47">
        <v>5.0402882012037198</v>
      </c>
      <c r="I38" s="47">
        <v>57.681583232446499</v>
      </c>
      <c r="J38" s="47">
        <v>112.06310315223401</v>
      </c>
      <c r="K38" s="47">
        <v>55.599744942785399</v>
      </c>
      <c r="L38" s="47">
        <v>49.059623192199503</v>
      </c>
      <c r="M38" s="47">
        <v>184.807900649777</v>
      </c>
      <c r="P38" s="25"/>
    </row>
    <row r="39" spans="1:16">
      <c r="A39">
        <v>30</v>
      </c>
      <c r="B39" t="s">
        <v>145</v>
      </c>
      <c r="C39" s="47">
        <v>40.7244229889397</v>
      </c>
      <c r="D39" s="47">
        <v>98.222468747142003</v>
      </c>
      <c r="E39" s="47">
        <v>46.225982340732997</v>
      </c>
      <c r="F39" s="47">
        <v>81.346361084825901</v>
      </c>
      <c r="G39" s="47">
        <v>9.3977020707803796</v>
      </c>
      <c r="H39" s="47">
        <v>4.5467003484457598</v>
      </c>
      <c r="I39" s="47">
        <v>51.706333576379102</v>
      </c>
      <c r="J39" s="47">
        <v>121.242114947103</v>
      </c>
      <c r="K39" s="47">
        <v>49.642745004444102</v>
      </c>
      <c r="L39" s="47">
        <v>60.748222935203003</v>
      </c>
      <c r="M39" s="47">
        <v>146.79446130451299</v>
      </c>
      <c r="P39" s="25"/>
    </row>
    <row r="40" spans="1:16">
      <c r="A40">
        <v>31</v>
      </c>
      <c r="B40" t="s">
        <v>146</v>
      </c>
      <c r="C40" s="47">
        <v>46.278957239019398</v>
      </c>
      <c r="D40" s="47">
        <v>98.751912168254904</v>
      </c>
      <c r="E40" s="47">
        <v>48.873880022848397</v>
      </c>
      <c r="F40" s="47">
        <v>81.446381676320001</v>
      </c>
      <c r="G40" s="47">
        <v>9.6520624856449295</v>
      </c>
      <c r="H40" s="47">
        <v>4.8769784237999296</v>
      </c>
      <c r="I40" s="47">
        <v>53.050227189629801</v>
      </c>
      <c r="J40" s="47">
        <v>139.78429995872301</v>
      </c>
      <c r="K40" s="47">
        <v>58.892069885879401</v>
      </c>
      <c r="L40" s="47">
        <v>53.984418196402402</v>
      </c>
      <c r="M40" s="47">
        <v>164.71990342079999</v>
      </c>
      <c r="P40" s="28"/>
    </row>
    <row r="41" spans="1:16">
      <c r="A41">
        <v>32</v>
      </c>
      <c r="B41" t="s">
        <v>147</v>
      </c>
      <c r="C41" s="47">
        <v>42.340840934979703</v>
      </c>
      <c r="D41" s="47">
        <v>98.463667982200903</v>
      </c>
      <c r="E41" s="47">
        <v>46.729310966789498</v>
      </c>
      <c r="F41" s="47">
        <v>81.492934574913093</v>
      </c>
      <c r="G41" s="47">
        <v>9.4401793698943504</v>
      </c>
      <c r="H41" s="47">
        <v>4.84693177246929</v>
      </c>
      <c r="I41" s="47">
        <v>54.593908664611703</v>
      </c>
      <c r="J41" s="47">
        <v>128.137074293724</v>
      </c>
      <c r="K41" s="47">
        <v>60.384490404764897</v>
      </c>
      <c r="L41" s="47">
        <v>41.472596214942101</v>
      </c>
      <c r="M41" s="47">
        <v>166.186535273956</v>
      </c>
      <c r="P41" s="25"/>
    </row>
    <row r="42" spans="1:16">
      <c r="A42">
        <v>33</v>
      </c>
      <c r="B42" t="s">
        <v>148</v>
      </c>
      <c r="C42" s="47">
        <v>41.936653640341703</v>
      </c>
      <c r="D42" s="47">
        <v>98.000568517535299</v>
      </c>
      <c r="E42" s="47">
        <v>47.281347753737599</v>
      </c>
      <c r="F42" s="47">
        <v>81.352944481979307</v>
      </c>
      <c r="G42" s="47">
        <v>9.4580700068499599</v>
      </c>
      <c r="H42" s="47">
        <v>4.9031050533291802</v>
      </c>
      <c r="I42" s="47">
        <v>54.570394096181801</v>
      </c>
      <c r="J42" s="47">
        <v>139.311143562273</v>
      </c>
      <c r="K42" s="47">
        <v>55.700823193974998</v>
      </c>
      <c r="L42" s="47">
        <v>43.822733710671301</v>
      </c>
      <c r="M42" s="47">
        <v>157.04204789504499</v>
      </c>
    </row>
    <row r="43" spans="1:16">
      <c r="A43">
        <v>34</v>
      </c>
      <c r="B43" t="s">
        <v>149</v>
      </c>
      <c r="C43" s="47">
        <v>46.716226096330601</v>
      </c>
      <c r="D43" s="47">
        <v>99.486434244365</v>
      </c>
      <c r="E43" s="47">
        <v>45.704816124178798</v>
      </c>
      <c r="F43" s="47">
        <v>81.3686783642531</v>
      </c>
      <c r="G43" s="47">
        <v>9.7688200056706904</v>
      </c>
      <c r="H43" s="47">
        <v>5.2725590342235904</v>
      </c>
      <c r="I43" s="47">
        <v>55.816213202111499</v>
      </c>
      <c r="J43" s="47">
        <v>121.840211964963</v>
      </c>
      <c r="K43" s="47">
        <v>50.640700148024102</v>
      </c>
      <c r="L43" s="47">
        <v>67.333058094470005</v>
      </c>
      <c r="M43" s="47">
        <v>176.18191829618399</v>
      </c>
    </row>
    <row r="44" spans="1:16">
      <c r="A44">
        <v>35</v>
      </c>
      <c r="B44" t="s">
        <v>150</v>
      </c>
      <c r="C44" s="47">
        <v>47.640934721571703</v>
      </c>
      <c r="D44" s="47">
        <v>98.730797767405704</v>
      </c>
      <c r="E44" s="47">
        <v>45.910194668911799</v>
      </c>
      <c r="F44" s="47">
        <v>81.459381560113101</v>
      </c>
      <c r="G44" s="47">
        <v>9.6132429272614708</v>
      </c>
      <c r="H44" s="47">
        <v>5.1842428596914703</v>
      </c>
      <c r="I44" s="47">
        <v>55.472193236918102</v>
      </c>
      <c r="J44" s="47">
        <v>133.14743020721301</v>
      </c>
      <c r="K44" s="47">
        <v>60.0854197063857</v>
      </c>
      <c r="L44" s="47">
        <v>38.918358437589298</v>
      </c>
      <c r="M44" s="47">
        <v>195.26922755235401</v>
      </c>
    </row>
    <row r="45" spans="1:16">
      <c r="A45">
        <v>36</v>
      </c>
      <c r="B45" t="s">
        <v>151</v>
      </c>
      <c r="C45" s="47">
        <v>43.567084733955902</v>
      </c>
      <c r="D45" s="47">
        <v>98.366921914372</v>
      </c>
      <c r="E45" s="47">
        <v>46.287363591884002</v>
      </c>
      <c r="F45" s="47">
        <v>81.198460644257096</v>
      </c>
      <c r="G45" s="47">
        <v>10.2891378961711</v>
      </c>
      <c r="H45" s="47">
        <v>5.3547324010479196</v>
      </c>
      <c r="I45" s="47">
        <v>54.483755042315501</v>
      </c>
      <c r="J45" s="47">
        <v>151.38847757104301</v>
      </c>
      <c r="K45" s="47">
        <v>60.953276358058503</v>
      </c>
      <c r="L45" s="47">
        <v>45.924199917951697</v>
      </c>
      <c r="M45" s="47">
        <v>216.905767188711</v>
      </c>
    </row>
    <row r="46" spans="1:16">
      <c r="A46">
        <v>37</v>
      </c>
      <c r="B46" t="s">
        <v>152</v>
      </c>
      <c r="C46" s="47">
        <v>46.487643408214097</v>
      </c>
      <c r="D46" s="47">
        <v>99.089101359725007</v>
      </c>
      <c r="E46" s="47">
        <v>45.075096967312902</v>
      </c>
      <c r="F46" s="47">
        <v>81.284993391011199</v>
      </c>
      <c r="G46" s="47">
        <v>10.032655762725501</v>
      </c>
      <c r="H46" s="47">
        <v>5.2096579104699696</v>
      </c>
      <c r="I46" s="47">
        <v>53.330488147422699</v>
      </c>
      <c r="J46" s="47">
        <v>141.68325545620701</v>
      </c>
      <c r="K46" s="47">
        <v>53.376285972093498</v>
      </c>
      <c r="L46" s="47">
        <v>45.601096027040498</v>
      </c>
      <c r="M46" s="47">
        <v>206.457148994113</v>
      </c>
    </row>
    <row r="47" spans="1:16">
      <c r="A47">
        <v>38</v>
      </c>
      <c r="B47" t="s">
        <v>153</v>
      </c>
      <c r="C47" s="47">
        <v>45.181721668469201</v>
      </c>
      <c r="D47" s="47">
        <v>99.001960406319199</v>
      </c>
      <c r="E47" s="47">
        <v>44.455033904146397</v>
      </c>
      <c r="F47" s="47">
        <v>80.968283436691095</v>
      </c>
      <c r="G47" s="47">
        <v>9.86363511262436</v>
      </c>
      <c r="H47" s="47">
        <v>5.0154898046575704</v>
      </c>
      <c r="I47" s="47">
        <v>53.306583082296598</v>
      </c>
      <c r="J47" s="47">
        <v>129.42951806365099</v>
      </c>
      <c r="K47" s="47">
        <v>55.7277701374597</v>
      </c>
      <c r="L47" s="47">
        <v>67.178856368010202</v>
      </c>
      <c r="M47" s="47">
        <v>180.62476338385699</v>
      </c>
    </row>
    <row r="48" spans="1:16">
      <c r="A48">
        <v>39</v>
      </c>
      <c r="B48" t="s">
        <v>154</v>
      </c>
      <c r="C48" s="47">
        <v>46.599203637757199</v>
      </c>
      <c r="D48" s="47">
        <v>98.935594339424796</v>
      </c>
      <c r="E48" s="47">
        <v>45.207439522469997</v>
      </c>
      <c r="F48" s="47">
        <v>81.105439844531205</v>
      </c>
      <c r="G48" s="47">
        <v>10.084054117618701</v>
      </c>
      <c r="H48" s="47">
        <v>4.9852170582984403</v>
      </c>
      <c r="I48" s="47">
        <v>52.012353663071302</v>
      </c>
      <c r="J48" s="47">
        <v>139.067648977857</v>
      </c>
      <c r="K48" s="47">
        <v>54.924436287892</v>
      </c>
      <c r="L48" s="47">
        <v>81.377766758021906</v>
      </c>
      <c r="M48" s="47">
        <v>183.046357101377</v>
      </c>
    </row>
    <row r="49" spans="1:13">
      <c r="A49">
        <v>40</v>
      </c>
      <c r="B49" t="s">
        <v>155</v>
      </c>
      <c r="C49" s="47">
        <v>44.965650241316403</v>
      </c>
      <c r="D49" s="47">
        <v>98.212878147949496</v>
      </c>
      <c r="E49" s="47">
        <v>46.145095876596002</v>
      </c>
      <c r="F49" s="47">
        <v>81.906976064707493</v>
      </c>
      <c r="G49" s="47">
        <v>9.6033271238985094</v>
      </c>
      <c r="H49" s="47">
        <v>5.1894741648717497</v>
      </c>
      <c r="I49" s="47">
        <v>57.055950465951199</v>
      </c>
      <c r="J49" s="47">
        <v>147.662942831626</v>
      </c>
      <c r="K49" s="47">
        <v>66.659195843479196</v>
      </c>
      <c r="L49" s="47">
        <v>40.522579987774499</v>
      </c>
      <c r="M49" s="47">
        <v>186.525486317309</v>
      </c>
    </row>
    <row r="50" spans="1:13">
      <c r="A50">
        <v>41</v>
      </c>
      <c r="B50" t="s">
        <v>156</v>
      </c>
      <c r="C50" s="47">
        <v>43.662455183868303</v>
      </c>
      <c r="D50" s="47">
        <v>98.497593086270797</v>
      </c>
      <c r="E50" s="47">
        <v>45.633083502783698</v>
      </c>
      <c r="F50" s="47">
        <v>81.505153954989595</v>
      </c>
      <c r="G50" s="47">
        <v>9.6793471060407299</v>
      </c>
      <c r="H50" s="47">
        <v>5.3309444389059699</v>
      </c>
      <c r="I50" s="47">
        <v>57.550859772416203</v>
      </c>
      <c r="J50" s="47">
        <v>131.26935206620499</v>
      </c>
      <c r="K50" s="47">
        <v>60.105795951017903</v>
      </c>
      <c r="L50" s="47">
        <v>45.851956371010999</v>
      </c>
      <c r="M50" s="47">
        <v>190.668441960103</v>
      </c>
    </row>
    <row r="51" spans="1:13">
      <c r="A51">
        <v>42</v>
      </c>
      <c r="B51" t="s">
        <v>157</v>
      </c>
      <c r="C51" s="47">
        <v>43.626256348964603</v>
      </c>
      <c r="D51" s="47">
        <v>98.673017991069798</v>
      </c>
      <c r="E51" s="47">
        <v>48.1315060769575</v>
      </c>
      <c r="F51" s="47">
        <v>81.271442630217905</v>
      </c>
      <c r="G51" s="47">
        <v>9.8461489572007803</v>
      </c>
      <c r="H51" s="47">
        <v>4.9326744156500304</v>
      </c>
      <c r="I51" s="47">
        <v>53.078495167381298</v>
      </c>
      <c r="J51" s="47">
        <v>119.707223804173</v>
      </c>
      <c r="K51" s="47">
        <v>61.007980335243197</v>
      </c>
      <c r="L51" s="47">
        <v>65.251295475173507</v>
      </c>
      <c r="M51" s="47">
        <v>157.76820471560299</v>
      </c>
    </row>
    <row r="52" spans="1:13">
      <c r="A52">
        <v>43</v>
      </c>
      <c r="B52" t="s">
        <v>158</v>
      </c>
      <c r="C52" s="47">
        <v>47.790207757444499</v>
      </c>
      <c r="D52" s="47">
        <v>99.017862920555004</v>
      </c>
      <c r="E52" s="47">
        <v>45.6290583252038</v>
      </c>
      <c r="F52" s="47">
        <v>80.978179035806406</v>
      </c>
      <c r="G52" s="47">
        <v>10.439087628117701</v>
      </c>
      <c r="H52" s="47">
        <v>5.29362298358802</v>
      </c>
      <c r="I52" s="47">
        <v>54.209753914658798</v>
      </c>
      <c r="J52" s="47">
        <v>133.22282660962901</v>
      </c>
      <c r="K52" s="47">
        <v>57.329290688846697</v>
      </c>
      <c r="L52" s="47">
        <v>80.858506341500402</v>
      </c>
      <c r="M52" s="47">
        <v>172.80338116132401</v>
      </c>
    </row>
    <row r="53" spans="1:13">
      <c r="A53">
        <v>44</v>
      </c>
      <c r="B53" t="s">
        <v>159</v>
      </c>
      <c r="C53" s="47">
        <v>43.616644580373602</v>
      </c>
      <c r="D53" s="47">
        <v>98.262163573330795</v>
      </c>
      <c r="E53" s="47">
        <v>45.843231510780903</v>
      </c>
      <c r="F53" s="47">
        <v>81.809542917499499</v>
      </c>
      <c r="G53" s="47">
        <v>9.2840510235313491</v>
      </c>
      <c r="H53" s="47">
        <v>4.8656587384329297</v>
      </c>
      <c r="I53" s="47">
        <v>55.016443387186698</v>
      </c>
      <c r="J53" s="47">
        <v>133.72557251630701</v>
      </c>
      <c r="K53" s="47">
        <v>59.259483322931899</v>
      </c>
      <c r="L53" s="47">
        <v>34.0415102739777</v>
      </c>
      <c r="M53" s="47">
        <v>178.91071513239501</v>
      </c>
    </row>
    <row r="54" spans="1:13">
      <c r="A54">
        <v>45</v>
      </c>
      <c r="B54" t="s">
        <v>160</v>
      </c>
      <c r="C54" s="47">
        <v>43.908844976751098</v>
      </c>
      <c r="D54" s="47">
        <v>98.815855403102802</v>
      </c>
      <c r="E54" s="47">
        <v>48.976741013997497</v>
      </c>
      <c r="F54" s="47">
        <v>81.280006000228198</v>
      </c>
      <c r="G54" s="47">
        <v>9.9842749358848906</v>
      </c>
      <c r="H54" s="47">
        <v>4.9776071620497397</v>
      </c>
      <c r="I54" s="47">
        <v>53.005167429344901</v>
      </c>
      <c r="J54" s="47">
        <v>125.122445621945</v>
      </c>
      <c r="K54" s="47">
        <v>58.405253863742701</v>
      </c>
      <c r="L54" s="47">
        <v>69.107939282864393</v>
      </c>
      <c r="M54" s="47">
        <v>155.24877610423999</v>
      </c>
    </row>
    <row r="55" spans="1:13">
      <c r="A55">
        <v>46</v>
      </c>
      <c r="B55" t="s">
        <v>161</v>
      </c>
      <c r="C55" s="47">
        <v>42.850427399255302</v>
      </c>
      <c r="D55" s="47">
        <v>98.561038134816201</v>
      </c>
      <c r="E55" s="47">
        <v>48.181873106111603</v>
      </c>
      <c r="F55" s="47">
        <v>81.249119021217496</v>
      </c>
      <c r="G55" s="47">
        <v>9.9319622479748304</v>
      </c>
      <c r="H55" s="47">
        <v>4.9820341357103901</v>
      </c>
      <c r="I55" s="47">
        <v>53.230290275317799</v>
      </c>
      <c r="J55" s="47">
        <v>122.462576659588</v>
      </c>
      <c r="K55" s="47">
        <v>62.359899251285697</v>
      </c>
      <c r="L55" s="47">
        <v>64.567084700634894</v>
      </c>
      <c r="M55" s="47">
        <v>155.65547820770701</v>
      </c>
    </row>
    <row r="56" spans="1:13">
      <c r="A56">
        <v>47</v>
      </c>
      <c r="B56" t="s">
        <v>162</v>
      </c>
      <c r="C56" s="47">
        <v>44.462219468737999</v>
      </c>
      <c r="D56" s="47">
        <v>98.759890824228094</v>
      </c>
      <c r="E56" s="47">
        <v>47.333382405301599</v>
      </c>
      <c r="F56" s="47">
        <v>81.275955881629002</v>
      </c>
      <c r="G56" s="47">
        <v>9.9329155177472295</v>
      </c>
      <c r="H56" s="47">
        <v>5.1770682207856398</v>
      </c>
      <c r="I56" s="47">
        <v>55.271605256486801</v>
      </c>
      <c r="J56" s="47">
        <v>114.513520358581</v>
      </c>
      <c r="K56" s="47">
        <v>59.316933570318803</v>
      </c>
      <c r="L56" s="47">
        <v>72.487588590922599</v>
      </c>
      <c r="M56" s="47">
        <v>168.823088581885</v>
      </c>
    </row>
    <row r="57" spans="1:13">
      <c r="A57">
        <v>48</v>
      </c>
      <c r="B57" t="s">
        <v>163</v>
      </c>
      <c r="C57" s="47">
        <v>43.407963389905497</v>
      </c>
      <c r="D57" s="47">
        <v>98.4463441888212</v>
      </c>
      <c r="E57" s="47">
        <v>47.839329843421403</v>
      </c>
      <c r="F57" s="47">
        <v>81.365117074826102</v>
      </c>
      <c r="G57" s="47">
        <v>9.8087418812913096</v>
      </c>
      <c r="H57" s="47">
        <v>5.13342141912279</v>
      </c>
      <c r="I57" s="47">
        <v>55.861906872060203</v>
      </c>
      <c r="J57" s="47">
        <v>119.359603430863</v>
      </c>
      <c r="K57" s="47">
        <v>53.123197895517897</v>
      </c>
      <c r="L57" s="47">
        <v>86.406937494279504</v>
      </c>
      <c r="M57" s="47">
        <v>156.79511861383301</v>
      </c>
    </row>
    <row r="58" spans="1:13">
      <c r="A58">
        <v>49</v>
      </c>
      <c r="B58" t="s">
        <v>164</v>
      </c>
      <c r="C58" s="47">
        <v>44.336619657266297</v>
      </c>
      <c r="D58" s="47">
        <v>98.661326611219295</v>
      </c>
      <c r="E58" s="47">
        <v>48.092473589327703</v>
      </c>
      <c r="F58" s="47">
        <v>81.360970353217994</v>
      </c>
      <c r="G58" s="47">
        <v>9.9008791694287908</v>
      </c>
      <c r="H58" s="47">
        <v>4.9715668832950302</v>
      </c>
      <c r="I58" s="47">
        <v>52.836931901600302</v>
      </c>
      <c r="J58" s="47">
        <v>123.68177679274299</v>
      </c>
      <c r="K58" s="47">
        <v>58.166299318919798</v>
      </c>
      <c r="L58" s="47">
        <v>74.222564679776696</v>
      </c>
      <c r="M58" s="47">
        <v>154.89284684316101</v>
      </c>
    </row>
    <row r="59" spans="1:13">
      <c r="A59">
        <v>50</v>
      </c>
      <c r="B59" t="s">
        <v>165</v>
      </c>
      <c r="C59" s="47">
        <v>46.9009859809101</v>
      </c>
      <c r="D59" s="47">
        <v>99.192953029402304</v>
      </c>
      <c r="E59" s="47">
        <v>48.024211329603297</v>
      </c>
      <c r="F59" s="47">
        <v>81.091000190388101</v>
      </c>
      <c r="G59" s="47">
        <v>10.124884972843599</v>
      </c>
      <c r="H59" s="47">
        <v>5.12042713587892</v>
      </c>
      <c r="I59" s="47">
        <v>53.401475320013901</v>
      </c>
      <c r="J59" s="47">
        <v>125.914710937911</v>
      </c>
      <c r="K59" s="47">
        <v>55.144039614166203</v>
      </c>
      <c r="L59" s="47">
        <v>65.597073237379206</v>
      </c>
      <c r="M59" s="47">
        <v>168.795265012839</v>
      </c>
    </row>
    <row r="60" spans="1:13">
      <c r="A60">
        <v>51</v>
      </c>
      <c r="B60" t="s">
        <v>166</v>
      </c>
      <c r="C60" s="47">
        <v>47.939365447376098</v>
      </c>
      <c r="D60" s="47">
        <v>99.026208416765996</v>
      </c>
      <c r="E60" s="47">
        <v>46.775480165524002</v>
      </c>
      <c r="F60" s="47">
        <v>80.966001474653794</v>
      </c>
      <c r="G60" s="47">
        <v>10.2474098358164</v>
      </c>
      <c r="H60" s="47">
        <v>5.2828624373125201</v>
      </c>
      <c r="I60" s="47">
        <v>54.0355790459313</v>
      </c>
      <c r="J60" s="47">
        <v>126.87799866863099</v>
      </c>
      <c r="K60" s="47">
        <v>53.599989004484598</v>
      </c>
      <c r="L60" s="47">
        <v>62.825494986139297</v>
      </c>
      <c r="M60" s="47">
        <v>200.51316921070099</v>
      </c>
    </row>
    <row r="61" spans="1:13">
      <c r="A61">
        <v>52</v>
      </c>
      <c r="B61" t="s">
        <v>167</v>
      </c>
      <c r="C61" s="47">
        <v>46.672960549925001</v>
      </c>
      <c r="D61" s="47">
        <v>98.994722743281898</v>
      </c>
      <c r="E61" s="47">
        <v>49.438911573967196</v>
      </c>
      <c r="F61" s="47">
        <v>81.6004255862767</v>
      </c>
      <c r="G61" s="47">
        <v>9.8638709668969504</v>
      </c>
      <c r="H61" s="47">
        <v>5.0912982442693497</v>
      </c>
      <c r="I61" s="47">
        <v>54.727239324645197</v>
      </c>
      <c r="J61" s="47">
        <v>125.60173710791901</v>
      </c>
      <c r="K61" s="47">
        <v>57.940500152868402</v>
      </c>
      <c r="L61" s="47">
        <v>64.969186815899405</v>
      </c>
      <c r="M61" s="47">
        <v>174.55100807802501</v>
      </c>
    </row>
    <row r="62" spans="1:13">
      <c r="A62">
        <v>53</v>
      </c>
      <c r="B62" t="s">
        <v>168</v>
      </c>
      <c r="C62" s="47">
        <v>44.465840244735702</v>
      </c>
      <c r="D62" s="47">
        <v>98.653480203453597</v>
      </c>
      <c r="E62" s="47">
        <v>45.758698839383001</v>
      </c>
      <c r="F62" s="47">
        <v>80.943488718735395</v>
      </c>
      <c r="G62" s="47">
        <v>10.2855702087998</v>
      </c>
      <c r="H62" s="47">
        <v>5.10780991706444</v>
      </c>
      <c r="I62" s="47">
        <v>53.171822152694702</v>
      </c>
      <c r="J62" s="47">
        <v>119.888616855772</v>
      </c>
      <c r="K62" s="47">
        <v>55.500295644548501</v>
      </c>
      <c r="L62" s="47">
        <v>97.646945338180103</v>
      </c>
      <c r="M62" s="47">
        <v>177.37275698194699</v>
      </c>
    </row>
    <row r="63" spans="1:13">
      <c r="A63">
        <v>55</v>
      </c>
      <c r="B63" t="s">
        <v>169</v>
      </c>
      <c r="C63" s="47">
        <v>47.256948424878701</v>
      </c>
      <c r="D63" s="47">
        <v>98.912955136454997</v>
      </c>
      <c r="E63" s="47">
        <v>44.9926687069959</v>
      </c>
      <c r="F63" s="47">
        <v>80.667418817431496</v>
      </c>
      <c r="G63" s="47">
        <v>10.915314737069901</v>
      </c>
      <c r="H63" s="47">
        <v>5.5143397082586603</v>
      </c>
      <c r="I63" s="47">
        <v>51.721138059686602</v>
      </c>
      <c r="J63" s="47">
        <v>163.98405317253301</v>
      </c>
      <c r="K63" s="47">
        <v>65.678969377384107</v>
      </c>
      <c r="L63" s="47">
        <v>74.683386182805805</v>
      </c>
      <c r="M63" s="47">
        <v>207.493882432551</v>
      </c>
    </row>
    <row r="64" spans="1:13">
      <c r="A64">
        <v>56</v>
      </c>
      <c r="B64" t="s">
        <v>170</v>
      </c>
      <c r="C64" s="47">
        <v>47.015384202224801</v>
      </c>
      <c r="D64" s="47">
        <v>99.362422589940493</v>
      </c>
      <c r="E64" s="47">
        <v>50.955788130848198</v>
      </c>
      <c r="F64" s="47">
        <v>81.193018500426206</v>
      </c>
      <c r="G64" s="47">
        <v>10.4494866670658</v>
      </c>
      <c r="H64" s="47">
        <v>5.3048770491377697</v>
      </c>
      <c r="I64" s="47">
        <v>53.0433332227636</v>
      </c>
      <c r="J64" s="47">
        <v>162.36804503034401</v>
      </c>
      <c r="K64" s="47">
        <v>66.939909155142701</v>
      </c>
      <c r="L64" s="47">
        <v>73.1517391791797</v>
      </c>
      <c r="M64" s="47">
        <v>170.729802306295</v>
      </c>
    </row>
    <row r="65" spans="1:13">
      <c r="A65">
        <v>57</v>
      </c>
      <c r="B65" t="s">
        <v>171</v>
      </c>
      <c r="C65" s="47">
        <v>46.134237253216803</v>
      </c>
      <c r="D65" s="47">
        <v>99.115820184165401</v>
      </c>
      <c r="E65" s="47">
        <v>47.8156753473937</v>
      </c>
      <c r="F65" s="47">
        <v>80.896407842424196</v>
      </c>
      <c r="G65" s="47">
        <v>10.761074895021</v>
      </c>
      <c r="H65" s="47">
        <v>5.4962391247302698</v>
      </c>
      <c r="I65" s="47">
        <v>53.316473367750199</v>
      </c>
      <c r="J65" s="47">
        <v>158.79998869060501</v>
      </c>
      <c r="K65" s="47">
        <v>59.856432812154303</v>
      </c>
      <c r="L65" s="47">
        <v>114.529865829445</v>
      </c>
      <c r="M65" s="47">
        <v>174.88593482555501</v>
      </c>
    </row>
    <row r="66" spans="1:13">
      <c r="A66">
        <v>58</v>
      </c>
      <c r="B66" t="s">
        <v>172</v>
      </c>
      <c r="C66" s="47">
        <v>50.103577435832399</v>
      </c>
      <c r="D66" s="47">
        <v>99.229557786196295</v>
      </c>
      <c r="E66" s="47">
        <v>45.717449564960702</v>
      </c>
      <c r="F66" s="47">
        <v>81.074085169786102</v>
      </c>
      <c r="G66" s="47">
        <v>10.605046461829399</v>
      </c>
      <c r="H66" s="47">
        <v>5.3886587524236997</v>
      </c>
      <c r="I66" s="47">
        <v>52.875914634308998</v>
      </c>
      <c r="J66" s="47">
        <v>139.95774467666999</v>
      </c>
      <c r="K66" s="47">
        <v>58.647808514116498</v>
      </c>
      <c r="L66" s="47">
        <v>89.715694810275593</v>
      </c>
      <c r="M66" s="47">
        <v>204.964407257609</v>
      </c>
    </row>
    <row r="67" spans="1:13">
      <c r="A67">
        <v>59</v>
      </c>
      <c r="B67" t="s">
        <v>173</v>
      </c>
      <c r="C67" s="47">
        <v>44.198251987873903</v>
      </c>
      <c r="D67" s="47">
        <v>97.773721009696999</v>
      </c>
      <c r="E67" s="47">
        <v>45.210824019464901</v>
      </c>
      <c r="F67" s="47">
        <v>81.499302431540599</v>
      </c>
      <c r="G67" s="47">
        <v>9.53314816045296</v>
      </c>
      <c r="H67" s="47">
        <v>5.4678505180176096</v>
      </c>
      <c r="I67" s="47">
        <v>60.2814544434789</v>
      </c>
      <c r="J67" s="47">
        <v>132.90187524578599</v>
      </c>
      <c r="K67" s="47">
        <v>61.553857412403801</v>
      </c>
      <c r="L67" s="47">
        <v>52.596084549686502</v>
      </c>
      <c r="M67" s="47">
        <v>194.25403000081701</v>
      </c>
    </row>
    <row r="68" spans="1:13">
      <c r="A68">
        <v>63</v>
      </c>
      <c r="B68" t="s">
        <v>95</v>
      </c>
      <c r="C68" s="47">
        <v>45.577495683467497</v>
      </c>
      <c r="D68" s="47">
        <v>98.163460976232003</v>
      </c>
      <c r="E68" s="47">
        <v>43.790145766623397</v>
      </c>
      <c r="F68" s="47">
        <v>81.267539686929197</v>
      </c>
      <c r="G68" s="47">
        <v>9.6633472807457306</v>
      </c>
      <c r="H68" s="47">
        <v>5.1523977296725096</v>
      </c>
      <c r="I68" s="47">
        <v>57.172602220582903</v>
      </c>
      <c r="J68" s="47">
        <v>132.72217572342399</v>
      </c>
      <c r="K68" s="47">
        <v>52.989758034566897</v>
      </c>
      <c r="L68" s="47">
        <v>47.801801073922697</v>
      </c>
      <c r="M68" s="47">
        <v>171.72698538343101</v>
      </c>
    </row>
    <row r="69" spans="1:13">
      <c r="A69">
        <v>65</v>
      </c>
      <c r="B69" t="s">
        <v>174</v>
      </c>
      <c r="C69" s="47">
        <v>45.935661392452502</v>
      </c>
      <c r="D69" s="47">
        <v>98.6890777615329</v>
      </c>
      <c r="E69" s="47">
        <v>45.932722920580701</v>
      </c>
      <c r="F69" s="47">
        <v>81.093036098989998</v>
      </c>
      <c r="G69" s="47">
        <v>10.4103299403703</v>
      </c>
      <c r="H69" s="47">
        <v>5.0873714961690597</v>
      </c>
      <c r="I69" s="47">
        <v>51.916660519963699</v>
      </c>
      <c r="J69" s="47">
        <v>141.38463448729101</v>
      </c>
      <c r="K69" s="47">
        <v>53.5595183245035</v>
      </c>
      <c r="L69" s="47">
        <v>58.146052898860503</v>
      </c>
      <c r="M69" s="47">
        <v>192.429443023342</v>
      </c>
    </row>
    <row r="70" spans="1:13">
      <c r="A70">
        <v>66</v>
      </c>
      <c r="B70" t="s">
        <v>99</v>
      </c>
      <c r="C70" s="47">
        <v>44.6080329291241</v>
      </c>
      <c r="D70" s="47">
        <v>97.229149813603897</v>
      </c>
      <c r="E70" s="47">
        <v>44.200656159527497</v>
      </c>
      <c r="F70" s="47">
        <v>81.330461208808799</v>
      </c>
      <c r="G70" s="47">
        <v>9.8726822003244692</v>
      </c>
      <c r="H70" s="47">
        <v>5.4605734466125204</v>
      </c>
      <c r="I70" s="47">
        <v>58.248611087123003</v>
      </c>
      <c r="J70" s="47">
        <v>149.578492696192</v>
      </c>
      <c r="K70" s="47">
        <v>68.963446452685105</v>
      </c>
      <c r="L70" s="47">
        <v>42.360612762551902</v>
      </c>
      <c r="M70" s="47">
        <v>208.961591947709</v>
      </c>
    </row>
    <row r="71" spans="1:13">
      <c r="A71">
        <v>67</v>
      </c>
      <c r="B71" t="s">
        <v>175</v>
      </c>
      <c r="C71" s="47">
        <v>45.326253660901102</v>
      </c>
      <c r="D71" s="47">
        <v>98.814370279586697</v>
      </c>
      <c r="E71" s="47">
        <v>44.5830569054066</v>
      </c>
      <c r="F71" s="47">
        <v>81.417385200077305</v>
      </c>
      <c r="G71" s="47">
        <v>9.75637332998134</v>
      </c>
      <c r="H71" s="47">
        <v>5.1485415091402897</v>
      </c>
      <c r="I71" s="47">
        <v>54.765377234810202</v>
      </c>
      <c r="J71" s="47">
        <v>142.68092754477399</v>
      </c>
      <c r="K71" s="47">
        <v>49.173159757332897</v>
      </c>
      <c r="L71" s="47">
        <v>62.102097755484699</v>
      </c>
      <c r="M71" s="47">
        <v>172.61440981841901</v>
      </c>
    </row>
    <row r="72" spans="1:13">
      <c r="A72">
        <v>68</v>
      </c>
      <c r="B72" t="s">
        <v>176</v>
      </c>
      <c r="C72" s="47">
        <v>48.561443213729298</v>
      </c>
      <c r="D72" s="47">
        <v>99.043054068985398</v>
      </c>
      <c r="E72" s="47">
        <v>46.959559450707097</v>
      </c>
      <c r="F72" s="47">
        <v>81.329246002119206</v>
      </c>
      <c r="G72" s="47">
        <v>10.022034917366801</v>
      </c>
      <c r="H72" s="47">
        <v>5.0423899119859401</v>
      </c>
      <c r="I72" s="47">
        <v>52.272604367774299</v>
      </c>
      <c r="J72" s="47">
        <v>137.28225824066601</v>
      </c>
      <c r="K72" s="47">
        <v>59.7052644010516</v>
      </c>
      <c r="L72" s="47">
        <v>70.357770035250397</v>
      </c>
      <c r="M72" s="47">
        <v>192.51148721843899</v>
      </c>
    </row>
    <row r="73" spans="1:13">
      <c r="A73">
        <v>69</v>
      </c>
      <c r="B73" t="s">
        <v>177</v>
      </c>
      <c r="C73" s="47">
        <v>48.038973486429697</v>
      </c>
      <c r="D73" s="47">
        <v>99.082874805659699</v>
      </c>
      <c r="E73" s="47">
        <v>46.339582538064903</v>
      </c>
      <c r="F73" s="47">
        <v>81.481195268213796</v>
      </c>
      <c r="G73" s="47">
        <v>9.6370262473547008</v>
      </c>
      <c r="H73" s="47">
        <v>5.1086739833004398</v>
      </c>
      <c r="I73" s="47">
        <v>55.097649889258399</v>
      </c>
      <c r="J73" s="47">
        <v>126.416776843649</v>
      </c>
      <c r="K73" s="47">
        <v>53.843201264451501</v>
      </c>
      <c r="L73" s="47">
        <v>55.592066987638397</v>
      </c>
      <c r="M73" s="47">
        <v>175.24291616857101</v>
      </c>
    </row>
    <row r="74" spans="1:13">
      <c r="A74">
        <v>71</v>
      </c>
      <c r="B74" t="s">
        <v>101</v>
      </c>
      <c r="C74" s="47">
        <v>50.5194496393962</v>
      </c>
      <c r="D74" s="47">
        <v>99.391456032487596</v>
      </c>
      <c r="E74" s="47">
        <v>46.036563852845099</v>
      </c>
      <c r="F74" s="47">
        <v>81.236753661454003</v>
      </c>
      <c r="G74" s="47">
        <v>10.0312424322606</v>
      </c>
      <c r="H74" s="47">
        <v>5.3908209852014002</v>
      </c>
      <c r="I74" s="47">
        <v>54.5067662439481</v>
      </c>
      <c r="J74" s="47">
        <v>143.20177414161199</v>
      </c>
      <c r="K74" s="47">
        <v>56.418413472833301</v>
      </c>
      <c r="L74" s="47">
        <v>61.434171842746402</v>
      </c>
      <c r="M74" s="47">
        <v>182.441301733698</v>
      </c>
    </row>
    <row r="75" spans="1:13">
      <c r="A75">
        <v>72</v>
      </c>
      <c r="B75" t="s">
        <v>178</v>
      </c>
      <c r="C75" s="47">
        <v>48.169266301572797</v>
      </c>
      <c r="D75" s="47">
        <v>98.869661432443806</v>
      </c>
      <c r="E75" s="47">
        <v>45.902953810207599</v>
      </c>
      <c r="F75" s="47">
        <v>81.746623473018701</v>
      </c>
      <c r="G75" s="47">
        <v>9.4627052696785707</v>
      </c>
      <c r="H75" s="47">
        <v>4.8122962949756403</v>
      </c>
      <c r="I75" s="47">
        <v>54.416704769856601</v>
      </c>
      <c r="J75" s="47">
        <v>99.962187231737303</v>
      </c>
      <c r="K75" s="47">
        <v>48.138106389390103</v>
      </c>
      <c r="L75" s="47">
        <v>52.060961597658803</v>
      </c>
      <c r="M75" s="47">
        <v>168.849722645084</v>
      </c>
    </row>
    <row r="76" spans="1:13">
      <c r="A76">
        <v>73</v>
      </c>
      <c r="B76" t="s">
        <v>103</v>
      </c>
      <c r="C76" s="47">
        <v>46.304728015801402</v>
      </c>
      <c r="D76" s="47">
        <v>98.759466287015201</v>
      </c>
      <c r="E76" s="47">
        <v>43.661759659401298</v>
      </c>
      <c r="F76" s="47">
        <v>81.419227152815395</v>
      </c>
      <c r="G76" s="47">
        <v>9.5798155796471001</v>
      </c>
      <c r="H76" s="47">
        <v>4.9574400353015102</v>
      </c>
      <c r="I76" s="47">
        <v>54.635862231379797</v>
      </c>
      <c r="J76" s="47">
        <v>119.132762027658</v>
      </c>
      <c r="K76" s="47">
        <v>56.9636382466716</v>
      </c>
      <c r="L76" s="47">
        <v>50.209595799892099</v>
      </c>
      <c r="M76" s="47">
        <v>190.995143459856</v>
      </c>
    </row>
    <row r="77" spans="1:13">
      <c r="A77">
        <v>74</v>
      </c>
      <c r="B77" t="s">
        <v>105</v>
      </c>
      <c r="C77" s="47">
        <v>47.926795745585501</v>
      </c>
      <c r="D77" s="47">
        <v>98.716064765042205</v>
      </c>
      <c r="E77" s="47">
        <v>44.548231190985597</v>
      </c>
      <c r="F77" s="47">
        <v>81.365070553245999</v>
      </c>
      <c r="G77" s="47">
        <v>9.8292538732191606</v>
      </c>
      <c r="H77" s="47">
        <v>5.2142131728346701</v>
      </c>
      <c r="I77" s="47">
        <v>54.848709971727601</v>
      </c>
      <c r="J77" s="47">
        <v>137.08043883651899</v>
      </c>
      <c r="K77" s="47">
        <v>53.653720652611703</v>
      </c>
      <c r="L77" s="47">
        <v>49.4307233082748</v>
      </c>
      <c r="M77" s="47">
        <v>180.29174149779499</v>
      </c>
    </row>
    <row r="78" spans="1:13">
      <c r="A78">
        <v>75</v>
      </c>
      <c r="B78" t="s">
        <v>179</v>
      </c>
      <c r="C78" s="47">
        <v>48.275389068478802</v>
      </c>
      <c r="D78" s="47">
        <v>99.399249085746604</v>
      </c>
      <c r="E78" s="47">
        <v>48.883787042176898</v>
      </c>
      <c r="F78" s="47">
        <v>81.453969772135196</v>
      </c>
      <c r="G78" s="47">
        <v>10.032372814894</v>
      </c>
      <c r="H78" s="47">
        <v>4.9595990325414299</v>
      </c>
      <c r="I78" s="47">
        <v>51.853218391726699</v>
      </c>
      <c r="J78" s="47">
        <v>122.507887632088</v>
      </c>
      <c r="K78" s="47">
        <v>50.4915138707469</v>
      </c>
      <c r="L78" s="47">
        <v>57.315240331151998</v>
      </c>
      <c r="M78" s="47">
        <v>190.25873598713099</v>
      </c>
    </row>
    <row r="79" spans="1:13">
      <c r="A79">
        <v>76</v>
      </c>
      <c r="B79" t="s">
        <v>180</v>
      </c>
      <c r="C79" s="47">
        <v>44.521047774347203</v>
      </c>
      <c r="D79" s="47">
        <v>99.0174981670541</v>
      </c>
      <c r="E79" s="47">
        <v>49.024652000660403</v>
      </c>
      <c r="F79" s="47">
        <v>81.143471806245699</v>
      </c>
      <c r="G79" s="47">
        <v>10.0537896229255</v>
      </c>
      <c r="H79" s="47">
        <v>5.4164961174133301</v>
      </c>
      <c r="I79" s="47">
        <v>56.626626836439797</v>
      </c>
      <c r="J79" s="47">
        <v>120.356856674301</v>
      </c>
      <c r="K79" s="47">
        <v>53.9874356443894</v>
      </c>
      <c r="L79" s="47">
        <v>62.376529591140098</v>
      </c>
      <c r="M79" s="47">
        <v>187.85840306196701</v>
      </c>
    </row>
    <row r="80" spans="1:13">
      <c r="A80">
        <v>77</v>
      </c>
      <c r="B80" t="s">
        <v>181</v>
      </c>
      <c r="C80" s="47">
        <v>48.324965687329303</v>
      </c>
      <c r="D80" s="47">
        <v>98.601977897947293</v>
      </c>
      <c r="E80" s="47">
        <v>45.663315781596502</v>
      </c>
      <c r="F80" s="47">
        <v>80.8476463799892</v>
      </c>
      <c r="G80" s="47">
        <v>10.7285091520781</v>
      </c>
      <c r="H80" s="47">
        <v>5.60634900725527</v>
      </c>
      <c r="I80" s="47">
        <v>53.1816321075448</v>
      </c>
      <c r="J80" s="47">
        <v>140.323121097252</v>
      </c>
      <c r="K80" s="47">
        <v>65.191665262029403</v>
      </c>
      <c r="L80" s="47">
        <v>58.723071936403102</v>
      </c>
      <c r="M80" s="47">
        <v>222.823251437236</v>
      </c>
    </row>
    <row r="81" spans="1:13">
      <c r="A81">
        <v>78</v>
      </c>
      <c r="B81" t="s">
        <v>182</v>
      </c>
      <c r="C81" s="47">
        <v>41.710546601635897</v>
      </c>
      <c r="D81" s="47">
        <v>98.259492775734699</v>
      </c>
      <c r="E81" s="47">
        <v>47.838228775604797</v>
      </c>
      <c r="F81" s="47">
        <v>80.912765790963704</v>
      </c>
      <c r="G81" s="47">
        <v>10.3615992544911</v>
      </c>
      <c r="H81" s="47">
        <v>5.3761649960328901</v>
      </c>
      <c r="I81" s="47">
        <v>55.476482035857003</v>
      </c>
      <c r="J81" s="47">
        <v>129.98016546614201</v>
      </c>
      <c r="K81" s="47">
        <v>64.1972748177852</v>
      </c>
      <c r="L81" s="47">
        <v>53.177401577802101</v>
      </c>
      <c r="M81" s="47">
        <v>208.52696261699299</v>
      </c>
    </row>
    <row r="82" spans="1:13">
      <c r="A82">
        <v>79</v>
      </c>
      <c r="B82" t="s">
        <v>183</v>
      </c>
      <c r="C82" s="47">
        <v>43.516608000821599</v>
      </c>
      <c r="D82" s="47">
        <v>98.173663790191696</v>
      </c>
      <c r="E82" s="47">
        <v>45.743290826248398</v>
      </c>
      <c r="F82" s="47">
        <v>80.531328737518805</v>
      </c>
      <c r="G82" s="47">
        <v>10.4947177897113</v>
      </c>
      <c r="H82" s="47">
        <v>5.3681687887051597</v>
      </c>
      <c r="I82" s="47">
        <v>54.0553662655295</v>
      </c>
      <c r="J82" s="47">
        <v>138.58891139891901</v>
      </c>
      <c r="K82" s="47">
        <v>58.534506722042302</v>
      </c>
      <c r="L82" s="47">
        <v>44.438911620401399</v>
      </c>
      <c r="M82" s="47">
        <v>202.44371949475601</v>
      </c>
    </row>
    <row r="83" spans="1:13">
      <c r="A83">
        <v>80</v>
      </c>
      <c r="B83" t="s">
        <v>184</v>
      </c>
      <c r="C83" s="47">
        <v>44.4608375695123</v>
      </c>
      <c r="D83" s="47">
        <v>98.397232224979007</v>
      </c>
      <c r="E83" s="47">
        <v>48.926275789516602</v>
      </c>
      <c r="F83" s="47">
        <v>81.266292215167098</v>
      </c>
      <c r="G83" s="47">
        <v>10.286687528952999</v>
      </c>
      <c r="H83" s="47">
        <v>5.4226414045713698</v>
      </c>
      <c r="I83" s="47">
        <v>56.349180555398398</v>
      </c>
      <c r="J83" s="47">
        <v>119.85887432785999</v>
      </c>
      <c r="K83" s="47">
        <v>57.712945356593799</v>
      </c>
      <c r="L83" s="47">
        <v>63.0917242124303</v>
      </c>
      <c r="M83" s="47">
        <v>204.44945437515801</v>
      </c>
    </row>
    <row r="84" spans="1:13">
      <c r="A84">
        <v>81</v>
      </c>
      <c r="B84" t="s">
        <v>185</v>
      </c>
      <c r="C84" s="47">
        <v>45.237951433034901</v>
      </c>
      <c r="D84" s="47">
        <v>98.719714819658904</v>
      </c>
      <c r="E84" s="47">
        <v>46.7636630980276</v>
      </c>
      <c r="F84" s="47">
        <v>80.629428064537905</v>
      </c>
      <c r="G84" s="47">
        <v>10.527527730979401</v>
      </c>
      <c r="H84" s="47">
        <v>5.3944208179857496</v>
      </c>
      <c r="I84" s="47">
        <v>53.339410327346599</v>
      </c>
      <c r="J84" s="47">
        <v>129.46038120147</v>
      </c>
      <c r="K84" s="47">
        <v>57.650675455416398</v>
      </c>
      <c r="L84" s="47">
        <v>53.081313269186197</v>
      </c>
      <c r="M84" s="47">
        <v>211.35457630926501</v>
      </c>
    </row>
    <row r="85" spans="1:13">
      <c r="A85">
        <v>82</v>
      </c>
      <c r="B85" t="s">
        <v>186</v>
      </c>
      <c r="C85" s="47">
        <v>48.514501250113597</v>
      </c>
      <c r="D85" s="47">
        <v>99.018222924797996</v>
      </c>
      <c r="E85" s="47">
        <v>46.790739165919902</v>
      </c>
      <c r="F85" s="47">
        <v>81.020164615651794</v>
      </c>
      <c r="G85" s="47">
        <v>10.445319056509099</v>
      </c>
      <c r="H85" s="47">
        <v>5.5191446636624999</v>
      </c>
      <c r="I85" s="47">
        <v>55.4280949024268</v>
      </c>
      <c r="J85" s="47">
        <v>133.145968757709</v>
      </c>
      <c r="K85" s="47">
        <v>57.960104638223001</v>
      </c>
      <c r="L85" s="47">
        <v>70.606178659613605</v>
      </c>
      <c r="M85" s="47">
        <v>208.688708785773</v>
      </c>
    </row>
    <row r="86" spans="1:13">
      <c r="A86">
        <v>83</v>
      </c>
      <c r="B86" t="s">
        <v>187</v>
      </c>
      <c r="C86" s="47">
        <v>39.841234245269497</v>
      </c>
      <c r="D86" s="47">
        <v>95.605748005518507</v>
      </c>
      <c r="E86" s="47">
        <v>46.700236037194301</v>
      </c>
      <c r="F86" s="47">
        <v>81.535415522975498</v>
      </c>
      <c r="G86" s="47">
        <v>10.012261769987299</v>
      </c>
      <c r="H86" s="47">
        <v>5.54649170398352</v>
      </c>
      <c r="I86" s="47">
        <v>57.635841876131998</v>
      </c>
      <c r="J86" s="47">
        <v>136.07359230497499</v>
      </c>
      <c r="K86" s="47">
        <v>94.629807037908904</v>
      </c>
      <c r="L86" s="47">
        <v>74.208704575328895</v>
      </c>
      <c r="M86" s="47">
        <v>213.38296335371999</v>
      </c>
    </row>
    <row r="87" spans="1:13">
      <c r="A87">
        <v>84</v>
      </c>
      <c r="B87" t="s">
        <v>188</v>
      </c>
      <c r="C87" s="47">
        <v>45.268125460073499</v>
      </c>
      <c r="D87" s="47">
        <v>98.973719832548198</v>
      </c>
      <c r="E87" s="47">
        <v>50.532309476045398</v>
      </c>
      <c r="F87" s="47">
        <v>81.358202078275497</v>
      </c>
      <c r="G87" s="47">
        <v>10.303840077641899</v>
      </c>
      <c r="H87" s="47">
        <v>5.1612383324151301</v>
      </c>
      <c r="I87" s="47">
        <v>52.292857699303397</v>
      </c>
      <c r="J87" s="47">
        <v>159.11435607597099</v>
      </c>
      <c r="K87" s="47">
        <v>67.234533827238295</v>
      </c>
      <c r="L87" s="47">
        <v>84.793714443530803</v>
      </c>
      <c r="M87" s="47">
        <v>151.730991077504</v>
      </c>
    </row>
    <row r="88" spans="1:13">
      <c r="A88">
        <v>85</v>
      </c>
      <c r="B88" t="s">
        <v>189</v>
      </c>
      <c r="C88" s="47">
        <v>43.607494282618703</v>
      </c>
      <c r="D88" s="47">
        <v>98.261682515910607</v>
      </c>
      <c r="E88" s="47">
        <v>45.850211166760801</v>
      </c>
      <c r="F88" s="47">
        <v>81.809543008183596</v>
      </c>
      <c r="G88" s="47">
        <v>9.2852102530796792</v>
      </c>
      <c r="H88" s="47">
        <v>4.8654482108371599</v>
      </c>
      <c r="I88" s="47">
        <v>55.011329696825499</v>
      </c>
      <c r="J88" s="47">
        <v>133.74936473963001</v>
      </c>
      <c r="K88" s="47">
        <v>59.272481616751101</v>
      </c>
      <c r="L88" s="47">
        <v>34.104439787428802</v>
      </c>
      <c r="M88" s="47">
        <v>178.86837997077799</v>
      </c>
    </row>
    <row r="89" spans="1:13">
      <c r="A89">
        <v>86</v>
      </c>
      <c r="B89" t="s">
        <v>190</v>
      </c>
      <c r="C89" s="47">
        <v>42.6317262075193</v>
      </c>
      <c r="D89" s="47">
        <v>98.410179484181</v>
      </c>
      <c r="E89" s="47">
        <v>48.8268731932191</v>
      </c>
      <c r="F89" s="47">
        <v>81.118264553027302</v>
      </c>
      <c r="G89" s="47">
        <v>10.088596721536</v>
      </c>
      <c r="H89" s="47">
        <v>5.1302055178636303</v>
      </c>
      <c r="I89" s="47">
        <v>53.694640828250002</v>
      </c>
      <c r="J89" s="47">
        <v>129.577629247153</v>
      </c>
      <c r="K89" s="47">
        <v>62.098550778181902</v>
      </c>
      <c r="L89" s="47">
        <v>58.163327008010498</v>
      </c>
      <c r="M89" s="47">
        <v>163.638572328013</v>
      </c>
    </row>
  </sheetData>
  <autoFilter ref="A3:N3" xr:uid="{9CA7E2BE-AA9B-4B5F-849D-22AD40C1CCEB}">
    <sortState xmlns:xlrd2="http://schemas.microsoft.com/office/spreadsheetml/2017/richdata2" ref="A4:N89">
      <sortCondition ref="N3"/>
    </sortState>
  </autoFilter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6A94-C1EC-4BFE-B55B-60671B59C6F9}">
  <dimension ref="A1:P89"/>
  <sheetViews>
    <sheetView tabSelected="1" topLeftCell="A74" workbookViewId="0">
      <selection sqref="A1:M89"/>
    </sheetView>
  </sheetViews>
  <sheetFormatPr defaultRowHeight="15.5"/>
  <sheetData>
    <row r="1" spans="1:16">
      <c r="A1" s="54" t="s">
        <v>194</v>
      </c>
      <c r="B1" s="55"/>
      <c r="C1" s="29" t="s">
        <v>10</v>
      </c>
      <c r="D1" s="29" t="s">
        <v>11</v>
      </c>
      <c r="E1" s="29" t="s">
        <v>12</v>
      </c>
      <c r="F1" s="29" t="s">
        <v>13</v>
      </c>
      <c r="G1" s="29" t="s">
        <v>12</v>
      </c>
      <c r="H1" s="29" t="s">
        <v>14</v>
      </c>
      <c r="I1" s="29"/>
      <c r="J1" s="29"/>
      <c r="K1" s="29" t="s">
        <v>15</v>
      </c>
      <c r="L1" s="29" t="s">
        <v>16</v>
      </c>
      <c r="M1" s="29"/>
    </row>
    <row r="2" spans="1:16">
      <c r="A2" s="56"/>
      <c r="B2" s="55"/>
      <c r="C2" s="29" t="s">
        <v>19</v>
      </c>
      <c r="D2" s="29" t="s">
        <v>20</v>
      </c>
      <c r="E2" s="29" t="s">
        <v>21</v>
      </c>
      <c r="F2" s="29" t="s">
        <v>22</v>
      </c>
      <c r="G2" s="29" t="s">
        <v>23</v>
      </c>
      <c r="H2" s="29" t="s">
        <v>23</v>
      </c>
      <c r="I2" s="29" t="s">
        <v>24</v>
      </c>
      <c r="J2" s="29" t="s">
        <v>25</v>
      </c>
      <c r="K2" s="29" t="s">
        <v>26</v>
      </c>
      <c r="L2" s="29" t="s">
        <v>27</v>
      </c>
      <c r="M2" s="29" t="s">
        <v>28</v>
      </c>
    </row>
    <row r="3" spans="1:16" ht="16.5">
      <c r="B3" t="s">
        <v>82</v>
      </c>
      <c r="C3" s="29" t="s">
        <v>31</v>
      </c>
      <c r="D3" s="29" t="s">
        <v>32</v>
      </c>
      <c r="E3" s="29" t="s">
        <v>33</v>
      </c>
      <c r="F3" s="29" t="s">
        <v>32</v>
      </c>
      <c r="G3" s="29" t="s">
        <v>32</v>
      </c>
      <c r="H3" s="29" t="s">
        <v>32</v>
      </c>
      <c r="I3" s="29" t="s">
        <v>32</v>
      </c>
      <c r="J3" s="29" t="s">
        <v>35</v>
      </c>
      <c r="K3" s="29" t="s">
        <v>36</v>
      </c>
      <c r="L3" s="29" t="s">
        <v>37</v>
      </c>
      <c r="M3" s="29" t="s">
        <v>37</v>
      </c>
      <c r="N3" s="50" t="s">
        <v>192</v>
      </c>
      <c r="P3" s="22" t="s">
        <v>73</v>
      </c>
    </row>
    <row r="4" spans="1:16" ht="16.5">
      <c r="A4">
        <v>54</v>
      </c>
      <c r="B4" s="33" t="s">
        <v>91</v>
      </c>
      <c r="C4" s="33">
        <v>44.9920224741523</v>
      </c>
      <c r="D4" s="33">
        <v>98.684630067624497</v>
      </c>
      <c r="E4" s="33">
        <v>48.139461010555102</v>
      </c>
      <c r="F4" s="33">
        <v>80.871390705484899</v>
      </c>
      <c r="G4" s="33">
        <v>10.746077409205499</v>
      </c>
      <c r="H4" s="33">
        <v>5.4211271005898096</v>
      </c>
      <c r="I4" s="33">
        <v>53.308168437376899</v>
      </c>
      <c r="J4" s="33">
        <v>161.027231583369</v>
      </c>
      <c r="K4" s="33">
        <v>64.220042140428603</v>
      </c>
      <c r="L4" s="33">
        <v>196.88281906442899</v>
      </c>
      <c r="M4" s="33">
        <v>205.49918097337201</v>
      </c>
      <c r="N4" t="s">
        <v>192</v>
      </c>
      <c r="P4" s="22" t="s">
        <v>74</v>
      </c>
    </row>
    <row r="5" spans="1:16" ht="16.5">
      <c r="A5">
        <v>60</v>
      </c>
      <c r="B5" s="33" t="s">
        <v>93</v>
      </c>
      <c r="C5" s="33">
        <v>44.430483217058701</v>
      </c>
      <c r="D5" s="33">
        <v>98.886509134300496</v>
      </c>
      <c r="E5" s="33">
        <v>42.206033360313299</v>
      </c>
      <c r="F5" s="33">
        <v>81.575457108151198</v>
      </c>
      <c r="G5" s="33">
        <v>9.2735058383976394</v>
      </c>
      <c r="H5" s="33">
        <v>5.2357186979840602</v>
      </c>
      <c r="I5" s="33">
        <v>58.786238641546802</v>
      </c>
      <c r="J5" s="51">
        <v>121.41696414910101</v>
      </c>
      <c r="K5" s="33">
        <v>51.391955098486299</v>
      </c>
      <c r="L5" s="51">
        <v>69.689971316823105</v>
      </c>
      <c r="M5" s="51">
        <v>167.010257849537</v>
      </c>
      <c r="N5" t="s">
        <v>192</v>
      </c>
      <c r="O5" s="33"/>
      <c r="P5" s="22" t="s">
        <v>75</v>
      </c>
    </row>
    <row r="6" spans="1:16" ht="16.5">
      <c r="A6">
        <v>61</v>
      </c>
      <c r="B6" s="33" t="s">
        <v>94</v>
      </c>
      <c r="C6" s="33">
        <v>43.516887893220101</v>
      </c>
      <c r="D6" s="33">
        <v>98.025153078907707</v>
      </c>
      <c r="E6" s="33">
        <v>41.835140027276402</v>
      </c>
      <c r="F6" s="33">
        <v>81.471932189046598</v>
      </c>
      <c r="G6" s="33">
        <v>9.5030320307499192</v>
      </c>
      <c r="H6" s="33">
        <v>5.2498693228033604</v>
      </c>
      <c r="I6" s="33">
        <v>58.277945337475202</v>
      </c>
      <c r="J6" s="51">
        <v>120.20653610417401</v>
      </c>
      <c r="K6" s="33">
        <v>50.019980948310902</v>
      </c>
      <c r="L6" s="33">
        <v>131.98826344458999</v>
      </c>
      <c r="M6" s="51">
        <v>163.796171763899</v>
      </c>
      <c r="N6" t="s">
        <v>192</v>
      </c>
      <c r="O6" s="33"/>
      <c r="P6" s="22" t="s">
        <v>76</v>
      </c>
    </row>
    <row r="7" spans="1:16" ht="16.5">
      <c r="A7">
        <v>62</v>
      </c>
      <c r="B7" s="33" t="s">
        <v>42</v>
      </c>
      <c r="C7" s="33">
        <v>43.911327803177798</v>
      </c>
      <c r="D7" s="33">
        <v>98.794398464391705</v>
      </c>
      <c r="E7" s="33">
        <v>43.984837756797198</v>
      </c>
      <c r="F7" s="33">
        <v>81.067438398787303</v>
      </c>
      <c r="G7" s="33">
        <v>9.7879552367188101</v>
      </c>
      <c r="H7" s="33">
        <v>4.9386193947897601</v>
      </c>
      <c r="I7" s="33">
        <v>53.662225314714398</v>
      </c>
      <c r="J7" s="51">
        <v>128.857690204249</v>
      </c>
      <c r="K7" s="33">
        <v>41.929437771440497</v>
      </c>
      <c r="L7" s="51">
        <v>65.043251888767898</v>
      </c>
      <c r="M7" s="51">
        <v>151.27612547342099</v>
      </c>
      <c r="N7" t="s">
        <v>192</v>
      </c>
      <c r="O7" s="33"/>
      <c r="P7" s="22" t="s">
        <v>77</v>
      </c>
    </row>
    <row r="8" spans="1:16" ht="16.5">
      <c r="A8">
        <v>64</v>
      </c>
      <c r="B8" s="33" t="s">
        <v>96</v>
      </c>
      <c r="C8" s="33">
        <v>45.910516599461801</v>
      </c>
      <c r="D8" s="33">
        <v>97.836076899399302</v>
      </c>
      <c r="E8" s="33">
        <v>42.721145353996199</v>
      </c>
      <c r="F8" s="33">
        <v>81.091482576068302</v>
      </c>
      <c r="G8" s="33">
        <v>9.7135031097245506</v>
      </c>
      <c r="H8" s="33">
        <v>4.9938232122047204</v>
      </c>
      <c r="I8" s="33">
        <v>54.685917215120902</v>
      </c>
      <c r="J8" s="51">
        <v>118.680104818846</v>
      </c>
      <c r="K8" s="33">
        <v>51.403594453007699</v>
      </c>
      <c r="L8" s="51">
        <v>77.613943094570004</v>
      </c>
      <c r="M8" s="51">
        <v>169.37979162185999</v>
      </c>
      <c r="N8" t="s">
        <v>192</v>
      </c>
      <c r="P8" s="22" t="s">
        <v>78</v>
      </c>
    </row>
    <row r="9" spans="1:16" ht="16.5">
      <c r="A9">
        <v>70</v>
      </c>
      <c r="B9" s="33" t="s">
        <v>100</v>
      </c>
      <c r="C9" s="33">
        <v>45.142176734349299</v>
      </c>
      <c r="D9" s="33">
        <v>98.054836806300997</v>
      </c>
      <c r="E9" s="33">
        <v>39.054296132806201</v>
      </c>
      <c r="F9" s="33">
        <v>81.272430725303295</v>
      </c>
      <c r="G9" s="33">
        <v>9.5427847863979398</v>
      </c>
      <c r="H9" s="33">
        <v>5.0223831721735497</v>
      </c>
      <c r="I9" s="33">
        <v>56.002766055307198</v>
      </c>
      <c r="J9" s="51">
        <v>134.541442004706</v>
      </c>
      <c r="K9" s="33">
        <v>56.582107972711299</v>
      </c>
      <c r="L9" s="51">
        <v>28.1867508808627</v>
      </c>
      <c r="M9" s="51">
        <v>152.50931830418401</v>
      </c>
      <c r="N9" t="s">
        <v>192</v>
      </c>
      <c r="P9" s="22" t="s">
        <v>79</v>
      </c>
    </row>
    <row r="10" spans="1:16" ht="16.5">
      <c r="A10">
        <v>1</v>
      </c>
      <c r="B10" t="s">
        <v>116</v>
      </c>
      <c r="C10">
        <v>44.013782061891199</v>
      </c>
      <c r="D10">
        <v>98.7575624637429</v>
      </c>
      <c r="E10">
        <v>49.173446790185103</v>
      </c>
      <c r="F10">
        <v>81.552638049140896</v>
      </c>
      <c r="G10">
        <v>9.5355394970820999</v>
      </c>
      <c r="H10">
        <v>4.8662597551286302</v>
      </c>
      <c r="I10">
        <v>53.587230794067501</v>
      </c>
      <c r="J10">
        <v>141.05228094838901</v>
      </c>
      <c r="K10">
        <v>57.832281053880401</v>
      </c>
      <c r="L10">
        <v>60.717060452920499</v>
      </c>
      <c r="M10">
        <v>156.41877030272099</v>
      </c>
      <c r="P10" s="22" t="s">
        <v>80</v>
      </c>
    </row>
    <row r="11" spans="1:16">
      <c r="A11">
        <v>2</v>
      </c>
      <c r="B11" t="s">
        <v>117</v>
      </c>
      <c r="C11">
        <v>41.807780351578501</v>
      </c>
      <c r="D11">
        <v>98.345973478031695</v>
      </c>
      <c r="E11">
        <v>45.727854450435601</v>
      </c>
      <c r="F11">
        <v>81.357511876501903</v>
      </c>
      <c r="G11">
        <v>9.4115144823900998</v>
      </c>
      <c r="H11">
        <v>4.6022764391652498</v>
      </c>
      <c r="I11">
        <v>52.242069549125802</v>
      </c>
      <c r="J11">
        <v>136.15713533972999</v>
      </c>
      <c r="K11">
        <v>57.300438043843798</v>
      </c>
      <c r="L11">
        <v>31.780721594172</v>
      </c>
      <c r="M11">
        <v>147.71015615841301</v>
      </c>
    </row>
    <row r="12" spans="1:16">
      <c r="A12">
        <v>3</v>
      </c>
      <c r="B12" t="s">
        <v>118</v>
      </c>
      <c r="C12">
        <v>44.134400532364701</v>
      </c>
      <c r="D12">
        <v>98.860161889317197</v>
      </c>
      <c r="E12">
        <v>45.395643473190098</v>
      </c>
      <c r="F12">
        <v>81.423897825209593</v>
      </c>
      <c r="G12">
        <v>9.8255842840406693</v>
      </c>
      <c r="H12">
        <v>4.8521465067251102</v>
      </c>
      <c r="I12">
        <v>52.176855197790204</v>
      </c>
      <c r="J12">
        <v>143.459151368981</v>
      </c>
      <c r="K12">
        <v>60.4256616825474</v>
      </c>
      <c r="L12">
        <v>26.003712724265299</v>
      </c>
      <c r="M12">
        <v>170.77006849267701</v>
      </c>
    </row>
    <row r="13" spans="1:16">
      <c r="A13">
        <v>4</v>
      </c>
      <c r="B13" t="s">
        <v>119</v>
      </c>
      <c r="C13">
        <v>43.292998722487198</v>
      </c>
      <c r="D13">
        <v>98.372993337298297</v>
      </c>
      <c r="E13">
        <v>50.917145957903998</v>
      </c>
      <c r="F13">
        <v>81.538034975432097</v>
      </c>
      <c r="G13">
        <v>9.5187608163544493</v>
      </c>
      <c r="H13">
        <v>4.8281181721609796</v>
      </c>
      <c r="I13">
        <v>53.987676614843402</v>
      </c>
      <c r="J13">
        <v>126.15840233381201</v>
      </c>
      <c r="K13">
        <v>57.712039636801201</v>
      </c>
      <c r="L13">
        <v>37.868687469007902</v>
      </c>
      <c r="M13">
        <v>142.63305151384</v>
      </c>
    </row>
    <row r="14" spans="1:16">
      <c r="A14">
        <v>5</v>
      </c>
      <c r="B14" t="s">
        <v>120</v>
      </c>
      <c r="C14">
        <v>43.811093588503802</v>
      </c>
      <c r="D14">
        <v>98.884565779750602</v>
      </c>
      <c r="E14">
        <v>49.246484924866799</v>
      </c>
      <c r="F14">
        <v>81.3831238768812</v>
      </c>
      <c r="G14">
        <v>10.0996520128349</v>
      </c>
      <c r="H14">
        <v>4.9267272964137803</v>
      </c>
      <c r="I14">
        <v>51.1845795261167</v>
      </c>
      <c r="J14">
        <v>141.23587015386099</v>
      </c>
      <c r="K14">
        <v>56.285016423662299</v>
      </c>
      <c r="L14">
        <v>144.504836326929</v>
      </c>
      <c r="M14">
        <v>160.73197630297301</v>
      </c>
    </row>
    <row r="15" spans="1:16">
      <c r="A15">
        <v>6</v>
      </c>
      <c r="B15" t="s">
        <v>121</v>
      </c>
      <c r="C15">
        <v>44.0427823578434</v>
      </c>
      <c r="D15">
        <v>98.808568547892506</v>
      </c>
      <c r="E15">
        <v>47.168713794854</v>
      </c>
      <c r="F15">
        <v>81.445556865259505</v>
      </c>
      <c r="G15">
        <v>9.9928334601328199</v>
      </c>
      <c r="H15">
        <v>4.9747788214871997</v>
      </c>
      <c r="I15">
        <v>51.981790412004301</v>
      </c>
      <c r="J15">
        <v>146.591990814318</v>
      </c>
      <c r="K15">
        <v>58.660729795862501</v>
      </c>
      <c r="L15">
        <v>92.355848455537398</v>
      </c>
      <c r="M15">
        <v>162.87172056235701</v>
      </c>
    </row>
    <row r="16" spans="1:16">
      <c r="A16">
        <v>7</v>
      </c>
      <c r="B16" t="s">
        <v>122</v>
      </c>
      <c r="C16">
        <v>44.342256381139997</v>
      </c>
      <c r="D16">
        <v>99.183208426647596</v>
      </c>
      <c r="E16">
        <v>48.3578507668553</v>
      </c>
      <c r="F16">
        <v>81.480067760885504</v>
      </c>
      <c r="G16">
        <v>9.6010661519741092</v>
      </c>
      <c r="H16">
        <v>4.9516532955346504</v>
      </c>
      <c r="I16">
        <v>54.496742192643403</v>
      </c>
      <c r="J16">
        <v>150.751027988061</v>
      </c>
      <c r="K16">
        <v>65.138758386626805</v>
      </c>
      <c r="L16">
        <v>17.2043911283737</v>
      </c>
      <c r="M16">
        <v>151.30794010376999</v>
      </c>
    </row>
    <row r="17" spans="1:13">
      <c r="A17">
        <v>8</v>
      </c>
      <c r="B17" t="s">
        <v>123</v>
      </c>
      <c r="C17">
        <v>44.822350964600197</v>
      </c>
      <c r="D17">
        <v>99.044386792631997</v>
      </c>
      <c r="E17">
        <v>43.626272975020598</v>
      </c>
      <c r="F17">
        <v>81.526521934933598</v>
      </c>
      <c r="G17">
        <v>9.7084596013745799</v>
      </c>
      <c r="H17">
        <v>4.8956275747120097</v>
      </c>
      <c r="I17">
        <v>53.434052223461201</v>
      </c>
      <c r="J17">
        <v>140.399732513679</v>
      </c>
      <c r="K17">
        <v>53.291718231402903</v>
      </c>
      <c r="L17">
        <v>36.008881789555403</v>
      </c>
      <c r="M17">
        <v>143.242487183181</v>
      </c>
    </row>
    <row r="18" spans="1:13">
      <c r="A18">
        <v>9</v>
      </c>
      <c r="B18" t="s">
        <v>124</v>
      </c>
      <c r="C18">
        <v>43.275075355206504</v>
      </c>
      <c r="D18">
        <v>99.115290042229205</v>
      </c>
      <c r="E18">
        <v>50.061618600350897</v>
      </c>
      <c r="F18">
        <v>81.6445099092021</v>
      </c>
      <c r="G18">
        <v>9.7672664719466091</v>
      </c>
      <c r="H18">
        <v>4.8721569805491702</v>
      </c>
      <c r="I18">
        <v>52.841012391425203</v>
      </c>
      <c r="J18">
        <v>148.97939467662599</v>
      </c>
      <c r="K18">
        <v>61.006011804928399</v>
      </c>
      <c r="L18">
        <v>26.410380284322201</v>
      </c>
      <c r="M18">
        <v>159.32664212601799</v>
      </c>
    </row>
    <row r="19" spans="1:13">
      <c r="A19">
        <v>10</v>
      </c>
      <c r="B19" t="s">
        <v>125</v>
      </c>
      <c r="C19">
        <v>44.744560316900603</v>
      </c>
      <c r="D19">
        <v>98.945696125599397</v>
      </c>
      <c r="E19">
        <v>48.220011528410502</v>
      </c>
      <c r="F19">
        <v>81.230711617261804</v>
      </c>
      <c r="G19">
        <v>9.9994982134545598</v>
      </c>
      <c r="H19">
        <v>4.9992941928455297</v>
      </c>
      <c r="I19">
        <v>52.515375926571302</v>
      </c>
      <c r="J19">
        <v>143.038557188494</v>
      </c>
      <c r="K19">
        <v>57.5818966137575</v>
      </c>
      <c r="L19">
        <v>58.435730279405803</v>
      </c>
      <c r="M19">
        <v>167.200603259736</v>
      </c>
    </row>
    <row r="20" spans="1:13">
      <c r="A20">
        <v>11</v>
      </c>
      <c r="B20" t="s">
        <v>126</v>
      </c>
      <c r="C20">
        <v>43.797253261718701</v>
      </c>
      <c r="D20">
        <v>97.7913137643623</v>
      </c>
      <c r="E20">
        <v>47.396574624039403</v>
      </c>
      <c r="F20">
        <v>81.516011758976006</v>
      </c>
      <c r="G20">
        <v>9.7884553525210798</v>
      </c>
      <c r="H20">
        <v>4.9914711864524399</v>
      </c>
      <c r="I20">
        <v>54.4264412452778</v>
      </c>
      <c r="J20">
        <v>142.91457196525201</v>
      </c>
      <c r="K20">
        <v>61.004158350477901</v>
      </c>
      <c r="L20">
        <v>65.580232124759803</v>
      </c>
      <c r="M20">
        <v>184.969940132559</v>
      </c>
    </row>
    <row r="21" spans="1:13">
      <c r="A21">
        <v>12</v>
      </c>
      <c r="B21" t="s">
        <v>127</v>
      </c>
      <c r="C21">
        <v>45.082511688019601</v>
      </c>
      <c r="D21">
        <v>99.010400478915599</v>
      </c>
      <c r="E21">
        <v>48.131888912751201</v>
      </c>
      <c r="F21">
        <v>81.475706250866196</v>
      </c>
      <c r="G21">
        <v>9.9547877438938404</v>
      </c>
      <c r="H21">
        <v>4.9423748470478799</v>
      </c>
      <c r="I21">
        <v>52.486550981449497</v>
      </c>
      <c r="J21">
        <v>135.44657063885899</v>
      </c>
      <c r="K21">
        <v>58.980627718522399</v>
      </c>
      <c r="L21">
        <v>60.613810371065803</v>
      </c>
      <c r="M21">
        <v>166.39642738769999</v>
      </c>
    </row>
    <row r="22" spans="1:13">
      <c r="A22">
        <v>13</v>
      </c>
      <c r="B22" t="s">
        <v>128</v>
      </c>
      <c r="C22">
        <v>45.262160274678898</v>
      </c>
      <c r="D22">
        <v>99.085694682283702</v>
      </c>
      <c r="E22">
        <v>48.483139936770101</v>
      </c>
      <c r="F22">
        <v>81.288496544603802</v>
      </c>
      <c r="G22">
        <v>10.122668593543899</v>
      </c>
      <c r="H22">
        <v>5.0109678997062401</v>
      </c>
      <c r="I22">
        <v>51.7690867251196</v>
      </c>
      <c r="J22">
        <v>133.51875381066</v>
      </c>
      <c r="K22">
        <v>59.697796552920998</v>
      </c>
      <c r="L22">
        <v>98.974551156415401</v>
      </c>
      <c r="M22">
        <v>147.13658447955001</v>
      </c>
    </row>
    <row r="23" spans="1:13">
      <c r="A23">
        <v>14</v>
      </c>
      <c r="B23" t="s">
        <v>129</v>
      </c>
      <c r="C23">
        <v>46.235287240769303</v>
      </c>
      <c r="D23">
        <v>98.698841973361993</v>
      </c>
      <c r="E23">
        <v>51.304059272327997</v>
      </c>
      <c r="F23">
        <v>81.579228634729404</v>
      </c>
      <c r="G23">
        <v>10.1872947505949</v>
      </c>
      <c r="H23">
        <v>5.0131026622299997</v>
      </c>
      <c r="I23">
        <v>52.739785385847298</v>
      </c>
      <c r="J23">
        <v>127.73560925646299</v>
      </c>
      <c r="K23">
        <v>57.143383111143201</v>
      </c>
      <c r="L23">
        <v>221.329583548101</v>
      </c>
      <c r="M23">
        <v>165.560173568247</v>
      </c>
    </row>
    <row r="24" spans="1:13">
      <c r="A24">
        <v>15</v>
      </c>
      <c r="B24" t="s">
        <v>130</v>
      </c>
      <c r="C24">
        <v>49.417608988281103</v>
      </c>
      <c r="D24">
        <v>99.091028036326193</v>
      </c>
      <c r="E24">
        <v>49.704757596843301</v>
      </c>
      <c r="F24">
        <v>80.898200457763807</v>
      </c>
      <c r="G24">
        <v>10.5988337943469</v>
      </c>
      <c r="H24">
        <v>5.2992332698603901</v>
      </c>
      <c r="I24">
        <v>51.9393259624878</v>
      </c>
      <c r="J24">
        <v>141.38918086300899</v>
      </c>
      <c r="K24">
        <v>51.083192061454703</v>
      </c>
      <c r="L24">
        <v>133.03181575588599</v>
      </c>
      <c r="M24">
        <v>180.97213358894101</v>
      </c>
    </row>
    <row r="25" spans="1:13">
      <c r="A25">
        <v>16</v>
      </c>
      <c r="B25" t="s">
        <v>131</v>
      </c>
      <c r="C25">
        <v>49.279475021606302</v>
      </c>
      <c r="D25">
        <v>99.183971982077296</v>
      </c>
      <c r="E25">
        <v>50.1948066302838</v>
      </c>
      <c r="F25">
        <v>81.143722137420497</v>
      </c>
      <c r="G25">
        <v>10.4693699253354</v>
      </c>
      <c r="H25">
        <v>5.0977731261403401</v>
      </c>
      <c r="I25">
        <v>52.198111612796502</v>
      </c>
      <c r="J25">
        <v>132.12962255892899</v>
      </c>
      <c r="K25">
        <v>61.5959442424504</v>
      </c>
      <c r="L25">
        <v>15.973356746440301</v>
      </c>
      <c r="M25">
        <v>162.69284591098901</v>
      </c>
    </row>
    <row r="26" spans="1:13">
      <c r="A26">
        <v>17</v>
      </c>
      <c r="B26" t="s">
        <v>132</v>
      </c>
      <c r="C26">
        <v>43.601130768625303</v>
      </c>
      <c r="D26">
        <v>98.770801992387803</v>
      </c>
      <c r="E26">
        <v>45.419734955096601</v>
      </c>
      <c r="F26">
        <v>81.328173928853104</v>
      </c>
      <c r="G26">
        <v>9.8829847060920901</v>
      </c>
      <c r="H26">
        <v>4.8822946290245</v>
      </c>
      <c r="I26">
        <v>52.2590364363856</v>
      </c>
      <c r="J26">
        <v>136.32456696356701</v>
      </c>
      <c r="K26">
        <v>59.821427275794697</v>
      </c>
      <c r="L26">
        <v>86.163500303980697</v>
      </c>
      <c r="M26">
        <v>166.622639355107</v>
      </c>
    </row>
    <row r="27" spans="1:13">
      <c r="A27">
        <v>18</v>
      </c>
      <c r="B27" t="s">
        <v>133</v>
      </c>
      <c r="C27">
        <v>39.781187720305603</v>
      </c>
      <c r="D27">
        <v>97.787365235057507</v>
      </c>
      <c r="E27">
        <v>47.246159517702097</v>
      </c>
      <c r="F27">
        <v>81.278937891158293</v>
      </c>
      <c r="G27">
        <v>9.8937642948327191</v>
      </c>
      <c r="H27">
        <v>4.9969757420205596</v>
      </c>
      <c r="I27">
        <v>53.085435707559398</v>
      </c>
      <c r="J27">
        <v>148.636001563831</v>
      </c>
      <c r="K27">
        <v>61.367316603058498</v>
      </c>
      <c r="L27">
        <v>28.182484362420499</v>
      </c>
      <c r="M27">
        <v>178.17264164079299</v>
      </c>
    </row>
    <row r="28" spans="1:13">
      <c r="A28">
        <v>19</v>
      </c>
      <c r="B28" t="s">
        <v>134</v>
      </c>
      <c r="C28">
        <v>43.258115647911701</v>
      </c>
      <c r="D28">
        <v>98.565406916006793</v>
      </c>
      <c r="E28">
        <v>48.226239823079901</v>
      </c>
      <c r="F28">
        <v>81.960594324740697</v>
      </c>
      <c r="G28">
        <v>9.4342767657904201</v>
      </c>
      <c r="H28">
        <v>5.0280673678103698</v>
      </c>
      <c r="I28">
        <v>56.031038813176998</v>
      </c>
      <c r="J28">
        <v>140.58572198662</v>
      </c>
      <c r="K28">
        <v>62.900324128819399</v>
      </c>
      <c r="L28">
        <v>23.302302046835401</v>
      </c>
      <c r="M28">
        <v>156.72851608444</v>
      </c>
    </row>
    <row r="29" spans="1:13">
      <c r="A29">
        <v>20</v>
      </c>
      <c r="B29" t="s">
        <v>135</v>
      </c>
      <c r="C29">
        <v>44.140425537266502</v>
      </c>
      <c r="D29">
        <v>98.421102618035505</v>
      </c>
      <c r="E29">
        <v>46.486581209414403</v>
      </c>
      <c r="F29">
        <v>81.689695287716404</v>
      </c>
      <c r="G29">
        <v>9.4179324651908498</v>
      </c>
      <c r="H29">
        <v>4.8092303878316596</v>
      </c>
      <c r="I29">
        <v>53.687732526001497</v>
      </c>
      <c r="J29">
        <v>132.27801576390101</v>
      </c>
      <c r="K29">
        <v>57.8876656157803</v>
      </c>
      <c r="L29">
        <v>29.301581671468401</v>
      </c>
      <c r="M29">
        <v>170.25030734283001</v>
      </c>
    </row>
    <row r="30" spans="1:13">
      <c r="A30">
        <v>21</v>
      </c>
      <c r="B30" t="s">
        <v>136</v>
      </c>
      <c r="C30">
        <v>42.0027409507654</v>
      </c>
      <c r="D30">
        <v>98.155699347754407</v>
      </c>
      <c r="E30">
        <v>42.196197715214097</v>
      </c>
      <c r="F30">
        <v>81.542057991855799</v>
      </c>
      <c r="G30">
        <v>9.1056666101100792</v>
      </c>
      <c r="H30">
        <v>4.69080692129653</v>
      </c>
      <c r="I30">
        <v>55.0082161498296</v>
      </c>
      <c r="J30">
        <v>108.514917589937</v>
      </c>
      <c r="K30">
        <v>51.996858713799</v>
      </c>
      <c r="L30">
        <v>72.473980585626705</v>
      </c>
      <c r="M30">
        <v>147.71396459913399</v>
      </c>
    </row>
    <row r="31" spans="1:13">
      <c r="A31">
        <v>22</v>
      </c>
      <c r="B31" t="s">
        <v>137</v>
      </c>
      <c r="C31">
        <v>44.277330385555302</v>
      </c>
      <c r="D31">
        <v>98.958594820072605</v>
      </c>
      <c r="E31">
        <v>47.417690920159203</v>
      </c>
      <c r="F31">
        <v>81.383313101857198</v>
      </c>
      <c r="G31">
        <v>9.8400414681861506</v>
      </c>
      <c r="H31">
        <v>4.8108390502557699</v>
      </c>
      <c r="I31">
        <v>51.5123365163426</v>
      </c>
      <c r="J31">
        <v>157.21702421349201</v>
      </c>
      <c r="K31">
        <v>53.348166536046598</v>
      </c>
      <c r="L31">
        <v>112.95330686505601</v>
      </c>
      <c r="M31">
        <v>151.33846325878099</v>
      </c>
    </row>
    <row r="32" spans="1:13">
      <c r="A32">
        <v>23</v>
      </c>
      <c r="B32" t="s">
        <v>138</v>
      </c>
      <c r="C32">
        <v>42.327482619683899</v>
      </c>
      <c r="D32">
        <v>97.836407805662603</v>
      </c>
      <c r="E32">
        <v>47.329299354693397</v>
      </c>
      <c r="F32">
        <v>81.727502743484493</v>
      </c>
      <c r="G32">
        <v>9.62903777580701</v>
      </c>
      <c r="H32">
        <v>4.89988653698164</v>
      </c>
      <c r="I32">
        <v>52.776267483739097</v>
      </c>
      <c r="J32">
        <v>123.999682752487</v>
      </c>
      <c r="K32">
        <v>59.787815788165197</v>
      </c>
      <c r="L32">
        <v>62.356366809280601</v>
      </c>
      <c r="M32">
        <v>182.99255049160001</v>
      </c>
    </row>
    <row r="33" spans="1:13">
      <c r="A33">
        <v>24</v>
      </c>
      <c r="B33" t="s">
        <v>139</v>
      </c>
      <c r="C33">
        <v>41.566610456790897</v>
      </c>
      <c r="D33">
        <v>98.650881917023796</v>
      </c>
      <c r="E33">
        <v>45.686876641851399</v>
      </c>
      <c r="F33">
        <v>81.406574607520994</v>
      </c>
      <c r="G33">
        <v>9.7289108626591396</v>
      </c>
      <c r="H33">
        <v>4.8155034239870904</v>
      </c>
      <c r="I33">
        <v>52.192179493317298</v>
      </c>
      <c r="J33">
        <v>137.69992869085101</v>
      </c>
      <c r="K33">
        <v>59.623269280026904</v>
      </c>
      <c r="L33">
        <v>33.500669627324498</v>
      </c>
      <c r="M33">
        <v>177.54731288766101</v>
      </c>
    </row>
    <row r="34" spans="1:13">
      <c r="A34">
        <v>25</v>
      </c>
      <c r="B34" t="s">
        <v>140</v>
      </c>
      <c r="C34">
        <v>44.340640071097702</v>
      </c>
      <c r="D34">
        <v>97.879686502038894</v>
      </c>
      <c r="E34">
        <v>46.696742261681202</v>
      </c>
      <c r="F34">
        <v>81.756620944393902</v>
      </c>
      <c r="G34">
        <v>9.5625218178100795</v>
      </c>
      <c r="H34">
        <v>4.96994053115501</v>
      </c>
      <c r="I34">
        <v>54.118792427451901</v>
      </c>
      <c r="J34">
        <v>135.09982406128299</v>
      </c>
      <c r="K34">
        <v>58.539821556119598</v>
      </c>
      <c r="L34">
        <v>38.913913138296003</v>
      </c>
      <c r="M34">
        <v>187.83375717915101</v>
      </c>
    </row>
    <row r="35" spans="1:13">
      <c r="A35">
        <v>26</v>
      </c>
      <c r="B35" t="s">
        <v>141</v>
      </c>
      <c r="C35">
        <v>41.298189122209997</v>
      </c>
      <c r="D35">
        <v>98.156661915176301</v>
      </c>
      <c r="E35">
        <v>46.309782953457201</v>
      </c>
      <c r="F35">
        <v>81.282587632064605</v>
      </c>
      <c r="G35">
        <v>10.1402385853455</v>
      </c>
      <c r="H35">
        <v>4.9625685175781697</v>
      </c>
      <c r="I35">
        <v>51.663636805747402</v>
      </c>
      <c r="J35">
        <v>138.144866037095</v>
      </c>
      <c r="K35">
        <v>59.548472757925303</v>
      </c>
      <c r="L35">
        <v>81.798905404645694</v>
      </c>
      <c r="M35">
        <v>169.82030552600401</v>
      </c>
    </row>
    <row r="36" spans="1:13">
      <c r="A36">
        <v>27</v>
      </c>
      <c r="B36" t="s">
        <v>142</v>
      </c>
      <c r="C36">
        <v>42.365057222374602</v>
      </c>
      <c r="D36">
        <v>98.205207719604999</v>
      </c>
      <c r="E36">
        <v>47.447830382649201</v>
      </c>
      <c r="F36">
        <v>81.947593536272606</v>
      </c>
      <c r="G36">
        <v>9.3721914972998395</v>
      </c>
      <c r="H36">
        <v>5.1161593781543404</v>
      </c>
      <c r="I36">
        <v>56.826885346200697</v>
      </c>
      <c r="J36">
        <v>138.424246709187</v>
      </c>
      <c r="K36">
        <v>66.988023429336806</v>
      </c>
      <c r="L36">
        <v>36.793463716021101</v>
      </c>
      <c r="M36">
        <v>164.60791156660201</v>
      </c>
    </row>
    <row r="37" spans="1:13">
      <c r="A37">
        <v>28</v>
      </c>
      <c r="B37" t="s">
        <v>143</v>
      </c>
      <c r="C37">
        <v>40.4362246463809</v>
      </c>
      <c r="D37">
        <v>98.181162604229399</v>
      </c>
      <c r="E37">
        <v>45.9984442072139</v>
      </c>
      <c r="F37">
        <v>81.412568413082496</v>
      </c>
      <c r="G37">
        <v>9.3178616206768492</v>
      </c>
      <c r="H37">
        <v>4.5660666067602396</v>
      </c>
      <c r="I37">
        <v>52.371435361011997</v>
      </c>
      <c r="J37">
        <v>124.024375557992</v>
      </c>
      <c r="K37">
        <v>55.204078848716101</v>
      </c>
      <c r="L37">
        <v>52.375081141955398</v>
      </c>
      <c r="M37">
        <v>147.844183048594</v>
      </c>
    </row>
    <row r="38" spans="1:13">
      <c r="A38">
        <v>29</v>
      </c>
      <c r="B38" t="s">
        <v>144</v>
      </c>
      <c r="C38">
        <v>45.653931164064701</v>
      </c>
      <c r="D38">
        <v>98.761677477455905</v>
      </c>
      <c r="E38">
        <v>47.022388275809</v>
      </c>
      <c r="F38">
        <v>81.558232547234596</v>
      </c>
      <c r="G38">
        <v>9.3314349151025908</v>
      </c>
      <c r="H38">
        <v>5.0240536375517104</v>
      </c>
      <c r="I38">
        <v>57.681582086237903</v>
      </c>
      <c r="J38">
        <v>107.135161846363</v>
      </c>
      <c r="K38">
        <v>55.130174067093499</v>
      </c>
      <c r="L38">
        <v>45.238654995030103</v>
      </c>
      <c r="M38">
        <v>185.436235124451</v>
      </c>
    </row>
    <row r="39" spans="1:13">
      <c r="A39">
        <v>30</v>
      </c>
      <c r="B39" t="s">
        <v>145</v>
      </c>
      <c r="C39">
        <v>40.6335572199593</v>
      </c>
      <c r="D39">
        <v>98.012899299722505</v>
      </c>
      <c r="E39">
        <v>45.9987342279261</v>
      </c>
      <c r="F39">
        <v>81.346360466575803</v>
      </c>
      <c r="G39">
        <v>9.3977006248033792</v>
      </c>
      <c r="H39">
        <v>4.5425748439659603</v>
      </c>
      <c r="I39">
        <v>51.706336638441996</v>
      </c>
      <c r="J39">
        <v>119.160054948181</v>
      </c>
      <c r="K39">
        <v>48.780691181331001</v>
      </c>
      <c r="L39">
        <v>27.1557312309005</v>
      </c>
      <c r="M39">
        <v>146.21426222984499</v>
      </c>
    </row>
    <row r="40" spans="1:13">
      <c r="A40">
        <v>31</v>
      </c>
      <c r="B40" t="s">
        <v>146</v>
      </c>
      <c r="C40">
        <v>46.226654846190897</v>
      </c>
      <c r="D40">
        <v>98.612413174661</v>
      </c>
      <c r="E40">
        <v>50.913552524514401</v>
      </c>
      <c r="F40">
        <v>81.446380855612901</v>
      </c>
      <c r="G40">
        <v>9.6520627438215207</v>
      </c>
      <c r="H40">
        <v>4.8909839416635501</v>
      </c>
      <c r="I40">
        <v>53.050225851758803</v>
      </c>
      <c r="J40">
        <v>142.64381780277199</v>
      </c>
      <c r="K40">
        <v>59.518795662652799</v>
      </c>
      <c r="L40">
        <v>55.626483730179501</v>
      </c>
      <c r="M40">
        <v>169.283419852658</v>
      </c>
    </row>
    <row r="41" spans="1:13">
      <c r="A41">
        <v>32</v>
      </c>
      <c r="B41" t="s">
        <v>147</v>
      </c>
      <c r="C41">
        <v>42.052429838607502</v>
      </c>
      <c r="D41">
        <v>98.318034452932494</v>
      </c>
      <c r="E41">
        <v>45.633283591392697</v>
      </c>
      <c r="F41">
        <v>81.492934838103295</v>
      </c>
      <c r="G41">
        <v>9.4401779780479096</v>
      </c>
      <c r="H41">
        <v>4.8304945808175299</v>
      </c>
      <c r="I41">
        <v>54.5939145092633</v>
      </c>
      <c r="J41">
        <v>125.503133647469</v>
      </c>
      <c r="K41">
        <v>60.714227801865597</v>
      </c>
      <c r="L41">
        <v>29.841920047475799</v>
      </c>
      <c r="M41">
        <v>162.2361323829</v>
      </c>
    </row>
    <row r="42" spans="1:13">
      <c r="A42">
        <v>33</v>
      </c>
      <c r="B42" t="s">
        <v>148</v>
      </c>
      <c r="C42">
        <v>41.941627991009199</v>
      </c>
      <c r="D42">
        <v>97.704677584488607</v>
      </c>
      <c r="E42">
        <v>49.376087204145101</v>
      </c>
      <c r="F42">
        <v>81.352942191218901</v>
      </c>
      <c r="G42">
        <v>9.4580712833315292</v>
      </c>
      <c r="H42">
        <v>4.9060657251850497</v>
      </c>
      <c r="I42">
        <v>54.570385322427697</v>
      </c>
      <c r="J42">
        <v>146.02379323875499</v>
      </c>
      <c r="K42">
        <v>56.171427839836802</v>
      </c>
      <c r="L42">
        <v>48.018681543924302</v>
      </c>
      <c r="M42">
        <v>160.22267159608199</v>
      </c>
    </row>
    <row r="43" spans="1:13">
      <c r="A43">
        <v>34</v>
      </c>
      <c r="B43" t="s">
        <v>149</v>
      </c>
      <c r="C43">
        <v>46.6002515246619</v>
      </c>
      <c r="D43">
        <v>99.389651215741196</v>
      </c>
      <c r="E43">
        <v>45.831289007946602</v>
      </c>
      <c r="F43">
        <v>81.368679493360801</v>
      </c>
      <c r="G43">
        <v>9.7688194960656904</v>
      </c>
      <c r="H43">
        <v>5.2782049583923296</v>
      </c>
      <c r="I43">
        <v>55.816214802996903</v>
      </c>
      <c r="J43">
        <v>123.37268902779</v>
      </c>
      <c r="K43">
        <v>50.809678459967898</v>
      </c>
      <c r="L43">
        <v>81.697260206145003</v>
      </c>
      <c r="M43">
        <v>170.360970336463</v>
      </c>
    </row>
    <row r="44" spans="1:13">
      <c r="A44">
        <v>35</v>
      </c>
      <c r="B44" t="s">
        <v>150</v>
      </c>
      <c r="C44">
        <v>47.846020699292097</v>
      </c>
      <c r="D44">
        <v>98.865553636528901</v>
      </c>
      <c r="E44">
        <v>46.776299460756398</v>
      </c>
      <c r="F44">
        <v>81.459382418198999</v>
      </c>
      <c r="G44">
        <v>9.6132422307252394</v>
      </c>
      <c r="H44">
        <v>5.1713567197446002</v>
      </c>
      <c r="I44">
        <v>55.472192843693897</v>
      </c>
      <c r="J44">
        <v>129.96895439300999</v>
      </c>
      <c r="K44">
        <v>59.490941732425497</v>
      </c>
      <c r="L44">
        <v>38.688013552985602</v>
      </c>
      <c r="M44">
        <v>198.76821453469</v>
      </c>
    </row>
    <row r="45" spans="1:13">
      <c r="A45">
        <v>36</v>
      </c>
      <c r="B45" t="s">
        <v>151</v>
      </c>
      <c r="C45">
        <v>43.482200851561998</v>
      </c>
      <c r="D45">
        <v>98.483410405419804</v>
      </c>
      <c r="E45">
        <v>46.635698094490699</v>
      </c>
      <c r="F45">
        <v>81.198459399893693</v>
      </c>
      <c r="G45">
        <v>10.289139985014501</v>
      </c>
      <c r="H45">
        <v>5.3725388475936704</v>
      </c>
      <c r="I45">
        <v>54.483748904354101</v>
      </c>
      <c r="J45">
        <v>158.005270758509</v>
      </c>
      <c r="K45">
        <v>61.069443753643803</v>
      </c>
      <c r="L45">
        <v>32.3266394677946</v>
      </c>
      <c r="M45">
        <v>222.405248909249</v>
      </c>
    </row>
    <row r="46" spans="1:13">
      <c r="A46">
        <v>37</v>
      </c>
      <c r="B46" t="s">
        <v>152</v>
      </c>
      <c r="C46">
        <v>46.5467406675346</v>
      </c>
      <c r="D46">
        <v>99.128630936386102</v>
      </c>
      <c r="E46">
        <v>44.892460059143801</v>
      </c>
      <c r="F46">
        <v>81.284993749579101</v>
      </c>
      <c r="G46">
        <v>10.032656139456201</v>
      </c>
      <c r="H46">
        <v>5.2151525354547701</v>
      </c>
      <c r="I46">
        <v>53.330485333469802</v>
      </c>
      <c r="J46">
        <v>142.24227964451799</v>
      </c>
      <c r="K46">
        <v>53.1432234291631</v>
      </c>
      <c r="L46">
        <v>41.465651594503498</v>
      </c>
      <c r="M46">
        <v>215.38871595596899</v>
      </c>
    </row>
    <row r="47" spans="1:13">
      <c r="A47">
        <v>38</v>
      </c>
      <c r="B47" t="s">
        <v>153</v>
      </c>
      <c r="C47">
        <v>45.304290262815002</v>
      </c>
      <c r="D47">
        <v>99.090285423347098</v>
      </c>
      <c r="E47">
        <v>44.276016632248798</v>
      </c>
      <c r="F47">
        <v>80.968282422016799</v>
      </c>
      <c r="G47">
        <v>9.8636357582458398</v>
      </c>
      <c r="H47">
        <v>5.0331645965950296</v>
      </c>
      <c r="I47">
        <v>53.306579838931299</v>
      </c>
      <c r="J47">
        <v>132.25614620590699</v>
      </c>
      <c r="K47">
        <v>57.8513915942181</v>
      </c>
      <c r="L47">
        <v>65.419933256837396</v>
      </c>
      <c r="M47">
        <v>185.33242664746001</v>
      </c>
    </row>
    <row r="48" spans="1:13">
      <c r="A48">
        <v>39</v>
      </c>
      <c r="B48" t="s">
        <v>154</v>
      </c>
      <c r="C48">
        <v>46.803695065851599</v>
      </c>
      <c r="D48">
        <v>99.204600781459106</v>
      </c>
      <c r="E48">
        <v>45.485964272395101</v>
      </c>
      <c r="F48">
        <v>81.105438550128696</v>
      </c>
      <c r="G48">
        <v>10.084054943050401</v>
      </c>
      <c r="H48">
        <v>4.9695142646264996</v>
      </c>
      <c r="I48">
        <v>52.012344904635697</v>
      </c>
      <c r="J48">
        <v>134.32975042787399</v>
      </c>
      <c r="K48">
        <v>52.464198567268902</v>
      </c>
      <c r="L48">
        <v>147.23613865761899</v>
      </c>
      <c r="M48">
        <v>176.43443007223399</v>
      </c>
    </row>
    <row r="49" spans="1:13">
      <c r="A49">
        <v>40</v>
      </c>
      <c r="B49" t="s">
        <v>155</v>
      </c>
      <c r="C49">
        <v>45.236086426832102</v>
      </c>
      <c r="D49">
        <v>98.558595329105103</v>
      </c>
      <c r="E49">
        <v>47.004535843575702</v>
      </c>
      <c r="F49">
        <v>81.906979386261</v>
      </c>
      <c r="G49">
        <v>9.6033267946732206</v>
      </c>
      <c r="H49">
        <v>5.1911285957721898</v>
      </c>
      <c r="I49">
        <v>57.055951853298197</v>
      </c>
      <c r="J49">
        <v>149.44872070507299</v>
      </c>
      <c r="K49">
        <v>67.233407936056807</v>
      </c>
      <c r="L49">
        <v>20.551163113485401</v>
      </c>
      <c r="M49">
        <v>184.55212128432601</v>
      </c>
    </row>
    <row r="50" spans="1:13">
      <c r="A50">
        <v>41</v>
      </c>
      <c r="B50" t="s">
        <v>156</v>
      </c>
      <c r="C50">
        <v>43.823867804151298</v>
      </c>
      <c r="D50">
        <v>98.855740919732099</v>
      </c>
      <c r="E50">
        <v>46.242556528683103</v>
      </c>
      <c r="F50">
        <v>81.505153919447594</v>
      </c>
      <c r="G50">
        <v>9.6793468667263802</v>
      </c>
      <c r="H50">
        <v>5.3596878532107297</v>
      </c>
      <c r="I50">
        <v>57.550865017384602</v>
      </c>
      <c r="J50">
        <v>129.65100512618599</v>
      </c>
      <c r="K50">
        <v>59.855239496743998</v>
      </c>
      <c r="L50">
        <v>30.4540743748876</v>
      </c>
      <c r="M50">
        <v>189.483887911561</v>
      </c>
    </row>
    <row r="51" spans="1:13">
      <c r="A51">
        <v>42</v>
      </c>
      <c r="B51" t="s">
        <v>157</v>
      </c>
      <c r="C51">
        <v>43.643364342333498</v>
      </c>
      <c r="D51">
        <v>98.940930435619507</v>
      </c>
      <c r="E51">
        <v>47.771460857511499</v>
      </c>
      <c r="F51">
        <v>81.271442289293603</v>
      </c>
      <c r="G51">
        <v>9.8461481795251302</v>
      </c>
      <c r="H51">
        <v>4.91467569492064</v>
      </c>
      <c r="I51">
        <v>53.078494650879797</v>
      </c>
      <c r="J51">
        <v>117.38183746102099</v>
      </c>
      <c r="K51">
        <v>61.367821809206603</v>
      </c>
      <c r="L51">
        <v>64.843476196751098</v>
      </c>
      <c r="M51">
        <v>155.50920436026601</v>
      </c>
    </row>
    <row r="52" spans="1:13">
      <c r="A52">
        <v>43</v>
      </c>
      <c r="B52" t="s">
        <v>158</v>
      </c>
      <c r="C52">
        <v>47.809891855283396</v>
      </c>
      <c r="D52">
        <v>98.941243874257907</v>
      </c>
      <c r="E52">
        <v>43.500847274197596</v>
      </c>
      <c r="F52">
        <v>80.978178032211503</v>
      </c>
      <c r="G52">
        <v>10.4390876238987</v>
      </c>
      <c r="H52">
        <v>5.27807463240205</v>
      </c>
      <c r="I52">
        <v>54.209751679689496</v>
      </c>
      <c r="J52">
        <v>135.49135429921</v>
      </c>
      <c r="K52">
        <v>58.212867489015203</v>
      </c>
      <c r="L52">
        <v>48.172103579656998</v>
      </c>
      <c r="M52">
        <v>168.069427534211</v>
      </c>
    </row>
    <row r="53" spans="1:13">
      <c r="A53">
        <v>44</v>
      </c>
      <c r="B53" t="s">
        <v>159</v>
      </c>
      <c r="C53">
        <v>43.603623785878703</v>
      </c>
      <c r="D53">
        <v>98.395883305584107</v>
      </c>
      <c r="E53">
        <v>46.235728883289603</v>
      </c>
      <c r="F53">
        <v>81.809542936446206</v>
      </c>
      <c r="G53">
        <v>9.2840503988509795</v>
      </c>
      <c r="H53">
        <v>4.8673985343091504</v>
      </c>
      <c r="I53">
        <v>55.0164452735224</v>
      </c>
      <c r="J53">
        <v>133.90151316443999</v>
      </c>
      <c r="K53">
        <v>59.772937381099197</v>
      </c>
      <c r="L53">
        <v>51.900846908870399</v>
      </c>
      <c r="M53">
        <v>184.431577808768</v>
      </c>
    </row>
    <row r="54" spans="1:13">
      <c r="A54">
        <v>45</v>
      </c>
      <c r="B54" t="s">
        <v>160</v>
      </c>
      <c r="C54">
        <v>44.081760568525503</v>
      </c>
      <c r="D54">
        <v>98.901902611375704</v>
      </c>
      <c r="E54">
        <v>49.997676465065702</v>
      </c>
      <c r="F54">
        <v>81.280005510346498</v>
      </c>
      <c r="G54">
        <v>9.9842751234426999</v>
      </c>
      <c r="H54">
        <v>4.9594414798779001</v>
      </c>
      <c r="I54">
        <v>53.005165507833901</v>
      </c>
      <c r="J54">
        <v>119.157014806684</v>
      </c>
      <c r="K54">
        <v>57.462758065958496</v>
      </c>
      <c r="L54">
        <v>128.06330237464999</v>
      </c>
      <c r="M54">
        <v>152.89133441238701</v>
      </c>
    </row>
    <row r="55" spans="1:13">
      <c r="A55">
        <v>46</v>
      </c>
      <c r="B55" t="s">
        <v>161</v>
      </c>
      <c r="C55">
        <v>42.968018355813598</v>
      </c>
      <c r="D55">
        <v>98.635279526377701</v>
      </c>
      <c r="E55">
        <v>47.049482003917902</v>
      </c>
      <c r="F55">
        <v>81.249118823917698</v>
      </c>
      <c r="G55">
        <v>9.9319624198721392</v>
      </c>
      <c r="H55">
        <v>4.9705220780965904</v>
      </c>
      <c r="I55">
        <v>53.2302892588989</v>
      </c>
      <c r="J55">
        <v>124.385468578933</v>
      </c>
      <c r="K55">
        <v>63.114056856702803</v>
      </c>
      <c r="L55">
        <v>64.348434791916901</v>
      </c>
      <c r="M55">
        <v>151.71716087699201</v>
      </c>
    </row>
    <row r="56" spans="1:13">
      <c r="A56">
        <v>47</v>
      </c>
      <c r="B56" t="s">
        <v>162</v>
      </c>
      <c r="C56">
        <v>44.499678130265799</v>
      </c>
      <c r="D56">
        <v>98.876925621399195</v>
      </c>
      <c r="E56">
        <v>46.583412143155499</v>
      </c>
      <c r="F56">
        <v>81.275957557333498</v>
      </c>
      <c r="G56">
        <v>9.9329142592270792</v>
      </c>
      <c r="H56">
        <v>5.1823758356940504</v>
      </c>
      <c r="I56">
        <v>55.2716102286252</v>
      </c>
      <c r="J56">
        <v>113.092323953132</v>
      </c>
      <c r="K56">
        <v>59.172015694833298</v>
      </c>
      <c r="L56">
        <v>47.424458395099599</v>
      </c>
      <c r="M56">
        <v>167.76248309276099</v>
      </c>
    </row>
    <row r="57" spans="1:13">
      <c r="A57">
        <v>48</v>
      </c>
      <c r="B57" t="s">
        <v>163</v>
      </c>
      <c r="C57">
        <v>43.2675730890465</v>
      </c>
      <c r="D57">
        <v>98.173804976864702</v>
      </c>
      <c r="E57">
        <v>46.665995748915201</v>
      </c>
      <c r="F57">
        <v>81.365118034140906</v>
      </c>
      <c r="G57">
        <v>9.8087402920125903</v>
      </c>
      <c r="H57">
        <v>5.1277611909218299</v>
      </c>
      <c r="I57">
        <v>55.861913787378498</v>
      </c>
      <c r="J57">
        <v>119.292307062131</v>
      </c>
      <c r="K57">
        <v>53.075325744334897</v>
      </c>
      <c r="L57">
        <v>75.347136697627406</v>
      </c>
      <c r="M57">
        <v>150.62304358208999</v>
      </c>
    </row>
    <row r="58" spans="1:13">
      <c r="A58">
        <v>49</v>
      </c>
      <c r="B58" t="s">
        <v>164</v>
      </c>
      <c r="C58">
        <v>44.432470497308501</v>
      </c>
      <c r="D58">
        <v>98.736825181021104</v>
      </c>
      <c r="E58">
        <v>46.606415457436</v>
      </c>
      <c r="F58">
        <v>81.360971987322998</v>
      </c>
      <c r="G58">
        <v>9.9008792287622391</v>
      </c>
      <c r="H58">
        <v>4.9857053001031302</v>
      </c>
      <c r="I58">
        <v>52.836936543168797</v>
      </c>
      <c r="J58">
        <v>120.217428682974</v>
      </c>
      <c r="K58">
        <v>55.645882128285002</v>
      </c>
      <c r="L58">
        <v>69.328332301615703</v>
      </c>
      <c r="M58">
        <v>153.401520692893</v>
      </c>
    </row>
    <row r="59" spans="1:13">
      <c r="A59">
        <v>50</v>
      </c>
      <c r="B59" t="s">
        <v>165</v>
      </c>
      <c r="C59">
        <v>47.046723719544097</v>
      </c>
      <c r="D59">
        <v>99.375845187046906</v>
      </c>
      <c r="E59">
        <v>48.965520854165902</v>
      </c>
      <c r="F59">
        <v>81.090999627227603</v>
      </c>
      <c r="G59">
        <v>10.1248850357048</v>
      </c>
      <c r="H59">
        <v>5.1170131150490201</v>
      </c>
      <c r="I59">
        <v>53.4014735191585</v>
      </c>
      <c r="J59">
        <v>123.60228886663199</v>
      </c>
      <c r="K59">
        <v>55.490850100805403</v>
      </c>
      <c r="L59">
        <v>52.843979620183603</v>
      </c>
      <c r="M59">
        <v>170.409088049655</v>
      </c>
    </row>
    <row r="60" spans="1:13">
      <c r="A60">
        <v>51</v>
      </c>
      <c r="B60" t="s">
        <v>166</v>
      </c>
      <c r="C60">
        <v>48.022367006479797</v>
      </c>
      <c r="D60">
        <v>99.101651792403899</v>
      </c>
      <c r="E60">
        <v>47.561528644616899</v>
      </c>
      <c r="F60">
        <v>80.966001047588904</v>
      </c>
      <c r="G60">
        <v>10.2474106197898</v>
      </c>
      <c r="H60">
        <v>5.2948151531474403</v>
      </c>
      <c r="I60">
        <v>54.035575854670803</v>
      </c>
      <c r="J60">
        <v>130.936289970692</v>
      </c>
      <c r="K60">
        <v>54.314964971375701</v>
      </c>
      <c r="L60">
        <v>32.082154591021997</v>
      </c>
      <c r="M60">
        <v>202.11068249348301</v>
      </c>
    </row>
    <row r="61" spans="1:13">
      <c r="A61">
        <v>52</v>
      </c>
      <c r="B61" t="s">
        <v>167</v>
      </c>
      <c r="C61">
        <v>46.738655469458102</v>
      </c>
      <c r="D61">
        <v>98.935494579370399</v>
      </c>
      <c r="E61">
        <v>49.352595483363103</v>
      </c>
      <c r="F61">
        <v>81.600425133127303</v>
      </c>
      <c r="G61">
        <v>9.8638711519279099</v>
      </c>
      <c r="H61">
        <v>5.0835567534502299</v>
      </c>
      <c r="I61">
        <v>54.727235805945099</v>
      </c>
      <c r="J61">
        <v>127.40242660796299</v>
      </c>
      <c r="K61">
        <v>57.645039990576002</v>
      </c>
      <c r="L61">
        <v>48.710359414217301</v>
      </c>
      <c r="M61">
        <v>178.23423271215501</v>
      </c>
    </row>
    <row r="62" spans="1:13">
      <c r="A62">
        <v>53</v>
      </c>
      <c r="B62" t="s">
        <v>168</v>
      </c>
      <c r="C62">
        <v>44.379503366237799</v>
      </c>
      <c r="D62">
        <v>98.676914993149893</v>
      </c>
      <c r="E62">
        <v>47.315026279726702</v>
      </c>
      <c r="F62">
        <v>80.943488796667197</v>
      </c>
      <c r="G62">
        <v>10.2855696525324</v>
      </c>
      <c r="H62">
        <v>5.0919703226436503</v>
      </c>
      <c r="I62">
        <v>53.171821468401397</v>
      </c>
      <c r="J62">
        <v>113.904913261285</v>
      </c>
      <c r="K62">
        <v>55.4798227764202</v>
      </c>
      <c r="L62">
        <v>154.930020242013</v>
      </c>
      <c r="M62">
        <v>176.15915891597001</v>
      </c>
    </row>
    <row r="63" spans="1:13">
      <c r="A63">
        <v>55</v>
      </c>
      <c r="B63" t="s">
        <v>169</v>
      </c>
      <c r="C63">
        <v>47.195141723545802</v>
      </c>
      <c r="D63">
        <v>98.956797959893393</v>
      </c>
      <c r="E63">
        <v>42.923376705609201</v>
      </c>
      <c r="F63">
        <v>80.667417971831398</v>
      </c>
      <c r="G63">
        <v>10.915316293680901</v>
      </c>
      <c r="H63">
        <v>5.5286253090329103</v>
      </c>
      <c r="I63">
        <v>51.721134663287998</v>
      </c>
      <c r="J63">
        <v>166.866081449831</v>
      </c>
      <c r="K63">
        <v>66.471725680709497</v>
      </c>
      <c r="L63">
        <v>40.9278480189692</v>
      </c>
      <c r="M63">
        <v>213.50904383684801</v>
      </c>
    </row>
    <row r="64" spans="1:13">
      <c r="A64">
        <v>56</v>
      </c>
      <c r="B64" t="s">
        <v>170</v>
      </c>
      <c r="C64">
        <v>47.102455151574802</v>
      </c>
      <c r="D64">
        <v>99.506983528646501</v>
      </c>
      <c r="E64">
        <v>51.1841757171061</v>
      </c>
      <c r="F64">
        <v>81.193018876298595</v>
      </c>
      <c r="G64">
        <v>10.4494863036194</v>
      </c>
      <c r="H64">
        <v>5.2945700632835004</v>
      </c>
      <c r="I64">
        <v>53.043331914749103</v>
      </c>
      <c r="J64">
        <v>163.86714214230901</v>
      </c>
      <c r="K64">
        <v>67.541500127578104</v>
      </c>
      <c r="L64">
        <v>23.652987925250301</v>
      </c>
      <c r="M64">
        <v>164.66765749062299</v>
      </c>
    </row>
    <row r="65" spans="1:15">
      <c r="A65">
        <v>57</v>
      </c>
      <c r="B65" t="s">
        <v>171</v>
      </c>
      <c r="C65">
        <v>46.271852344521299</v>
      </c>
      <c r="D65">
        <v>99.2016376618745</v>
      </c>
      <c r="E65">
        <v>46.872611115231301</v>
      </c>
      <c r="F65">
        <v>80.8964068818768</v>
      </c>
      <c r="G65">
        <v>10.761076615741899</v>
      </c>
      <c r="H65">
        <v>5.5166068231679501</v>
      </c>
      <c r="I65">
        <v>53.316471094192302</v>
      </c>
      <c r="J65">
        <v>160.861914996792</v>
      </c>
      <c r="K65">
        <v>59.449594761491198</v>
      </c>
      <c r="L65">
        <v>187.46579912035</v>
      </c>
      <c r="M65">
        <v>177.30209155963399</v>
      </c>
    </row>
    <row r="66" spans="1:15">
      <c r="A66">
        <v>58</v>
      </c>
      <c r="B66" t="s">
        <v>172</v>
      </c>
      <c r="C66">
        <v>50.477288981534997</v>
      </c>
      <c r="D66">
        <v>99.313374208863394</v>
      </c>
      <c r="E66">
        <v>43.012125802249798</v>
      </c>
      <c r="F66">
        <v>81.074084043649705</v>
      </c>
      <c r="G66">
        <v>10.605046869697601</v>
      </c>
      <c r="H66">
        <v>5.3732763139325197</v>
      </c>
      <c r="I66">
        <v>52.875911255693502</v>
      </c>
      <c r="J66">
        <v>138.44859148509801</v>
      </c>
      <c r="K66">
        <v>57.749740352591097</v>
      </c>
      <c r="L66">
        <v>104.51712932761301</v>
      </c>
      <c r="M66">
        <v>205.08627777793799</v>
      </c>
      <c r="O66" s="33"/>
    </row>
    <row r="67" spans="1:15">
      <c r="A67">
        <v>59</v>
      </c>
      <c r="B67" t="s">
        <v>173</v>
      </c>
      <c r="C67">
        <v>44.206667976427902</v>
      </c>
      <c r="D67">
        <v>97.498730044524606</v>
      </c>
      <c r="E67">
        <v>46.219035648675998</v>
      </c>
      <c r="F67">
        <v>81.499302165070901</v>
      </c>
      <c r="G67">
        <v>9.53314716380787</v>
      </c>
      <c r="H67">
        <v>5.4837783605557204</v>
      </c>
      <c r="I67">
        <v>60.281465643962797</v>
      </c>
      <c r="J67">
        <v>129.37072820199899</v>
      </c>
      <c r="K67">
        <v>62.196202571856404</v>
      </c>
      <c r="L67">
        <v>23.419524834191598</v>
      </c>
      <c r="M67">
        <v>194.387323054136</v>
      </c>
      <c r="O67" s="33"/>
    </row>
    <row r="68" spans="1:15">
      <c r="A68">
        <v>63</v>
      </c>
      <c r="B68" t="s">
        <v>95</v>
      </c>
      <c r="C68">
        <v>45.527523223553601</v>
      </c>
      <c r="D68">
        <v>98.092166735132395</v>
      </c>
      <c r="E68">
        <v>44.4445654672773</v>
      </c>
      <c r="F68">
        <v>81.2675403076679</v>
      </c>
      <c r="G68">
        <v>9.6633462888134698</v>
      </c>
      <c r="H68">
        <v>5.1313462907076897</v>
      </c>
      <c r="I68">
        <v>57.172604934976697</v>
      </c>
      <c r="J68">
        <v>132.35478908955301</v>
      </c>
      <c r="K68">
        <v>52.729949496716799</v>
      </c>
      <c r="L68">
        <v>41.749472249242402</v>
      </c>
      <c r="M68">
        <v>166.514145011831</v>
      </c>
      <c r="O68" s="33"/>
    </row>
    <row r="69" spans="1:15">
      <c r="A69">
        <v>65</v>
      </c>
      <c r="B69" t="s">
        <v>174</v>
      </c>
      <c r="C69">
        <v>45.8046521122291</v>
      </c>
      <c r="D69">
        <v>98.801096560645504</v>
      </c>
      <c r="E69">
        <v>46.540747429209702</v>
      </c>
      <c r="F69">
        <v>81.093036509106</v>
      </c>
      <c r="G69">
        <v>10.410329977144601</v>
      </c>
      <c r="H69">
        <v>5.0785463539670204</v>
      </c>
      <c r="I69">
        <v>51.916658983436697</v>
      </c>
      <c r="J69">
        <v>141.19106159530699</v>
      </c>
      <c r="K69">
        <v>52.841166917298501</v>
      </c>
      <c r="L69">
        <v>37.980777076602102</v>
      </c>
      <c r="M69">
        <v>187.193769017298</v>
      </c>
    </row>
    <row r="70" spans="1:15">
      <c r="A70">
        <v>66</v>
      </c>
      <c r="B70" t="s">
        <v>99</v>
      </c>
      <c r="C70">
        <v>44.656107118401003</v>
      </c>
      <c r="D70">
        <v>96.792719959340502</v>
      </c>
      <c r="E70">
        <v>43.400113874587603</v>
      </c>
      <c r="F70">
        <v>81.330460285492606</v>
      </c>
      <c r="G70">
        <v>9.8726836295226494</v>
      </c>
      <c r="H70">
        <v>5.4691416980034298</v>
      </c>
      <c r="I70">
        <v>58.248607112300803</v>
      </c>
      <c r="J70">
        <v>156.27183521965401</v>
      </c>
      <c r="K70">
        <v>69.568169123647394</v>
      </c>
      <c r="L70">
        <v>31.701918774345501</v>
      </c>
      <c r="M70">
        <v>217.21001838293699</v>
      </c>
    </row>
    <row r="71" spans="1:15">
      <c r="A71">
        <v>67</v>
      </c>
      <c r="B71" t="s">
        <v>175</v>
      </c>
      <c r="C71">
        <v>45.115369736466498</v>
      </c>
      <c r="D71">
        <v>98.654021468080003</v>
      </c>
      <c r="E71">
        <v>44.980367865158797</v>
      </c>
      <c r="F71">
        <v>81.417385102134602</v>
      </c>
      <c r="G71">
        <v>9.7563725232598895</v>
      </c>
      <c r="H71">
        <v>5.1488383218850204</v>
      </c>
      <c r="I71">
        <v>54.7653807310205</v>
      </c>
      <c r="J71">
        <v>144.52081765453499</v>
      </c>
      <c r="K71">
        <v>48.304595380006901</v>
      </c>
      <c r="L71">
        <v>96.085854727937999</v>
      </c>
      <c r="M71">
        <v>165.00364176252199</v>
      </c>
    </row>
    <row r="72" spans="1:15">
      <c r="A72">
        <v>68</v>
      </c>
      <c r="B72" t="s">
        <v>176</v>
      </c>
      <c r="C72">
        <v>48.691212200028403</v>
      </c>
      <c r="D72">
        <v>98.800382133544403</v>
      </c>
      <c r="E72">
        <v>47.860085243545598</v>
      </c>
      <c r="F72">
        <v>81.329245881678105</v>
      </c>
      <c r="G72">
        <v>10.0220358745709</v>
      </c>
      <c r="H72">
        <v>5.0589780405775304</v>
      </c>
      <c r="I72">
        <v>52.272603383176602</v>
      </c>
      <c r="J72">
        <v>140.70088964552701</v>
      </c>
      <c r="K72">
        <v>62.002677373870704</v>
      </c>
      <c r="L72">
        <v>91.998526777357895</v>
      </c>
      <c r="M72">
        <v>200.60187657700399</v>
      </c>
    </row>
    <row r="73" spans="1:15">
      <c r="A73">
        <v>69</v>
      </c>
      <c r="B73" t="s">
        <v>177</v>
      </c>
      <c r="C73">
        <v>48.082071653643197</v>
      </c>
      <c r="D73">
        <v>99.173098715557103</v>
      </c>
      <c r="E73">
        <v>47.276749584900301</v>
      </c>
      <c r="F73">
        <v>81.481194423828796</v>
      </c>
      <c r="G73">
        <v>9.6370264600406195</v>
      </c>
      <c r="H73">
        <v>5.1146764524154804</v>
      </c>
      <c r="I73">
        <v>55.097648420617801</v>
      </c>
      <c r="J73">
        <v>129.010788782525</v>
      </c>
      <c r="K73">
        <v>53.358403844166403</v>
      </c>
      <c r="L73">
        <v>21.638896387203999</v>
      </c>
      <c r="M73">
        <v>175.57984499365099</v>
      </c>
    </row>
    <row r="74" spans="1:15">
      <c r="A74">
        <v>71</v>
      </c>
      <c r="B74" t="s">
        <v>101</v>
      </c>
      <c r="C74">
        <v>50.6880327295124</v>
      </c>
      <c r="D74">
        <v>99.601511343125907</v>
      </c>
      <c r="E74">
        <v>47.854441331211099</v>
      </c>
      <c r="F74">
        <v>81.236752048067203</v>
      </c>
      <c r="G74">
        <v>10.031244174924399</v>
      </c>
      <c r="H74">
        <v>5.4214494384034397</v>
      </c>
      <c r="I74">
        <v>54.506763568364399</v>
      </c>
      <c r="J74">
        <v>145.746272016228</v>
      </c>
      <c r="K74">
        <v>56.738802183129003</v>
      </c>
      <c r="L74">
        <v>69.342061944644598</v>
      </c>
      <c r="M74">
        <v>186.27314255105799</v>
      </c>
    </row>
    <row r="75" spans="1:15">
      <c r="A75">
        <v>72</v>
      </c>
      <c r="B75" t="s">
        <v>178</v>
      </c>
      <c r="C75">
        <v>48.323659157443302</v>
      </c>
      <c r="D75">
        <v>98.928178071781502</v>
      </c>
      <c r="E75">
        <v>44.939657958972198</v>
      </c>
      <c r="F75">
        <v>81.746624644226699</v>
      </c>
      <c r="G75">
        <v>9.4627042001386297</v>
      </c>
      <c r="H75">
        <v>4.7952785786806702</v>
      </c>
      <c r="I75">
        <v>54.416705700694202</v>
      </c>
      <c r="J75">
        <v>88.7444699602448</v>
      </c>
      <c r="K75">
        <v>47.340672301543897</v>
      </c>
      <c r="L75">
        <v>68.101549969862603</v>
      </c>
      <c r="M75">
        <v>170.807587188084</v>
      </c>
    </row>
    <row r="76" spans="1:15">
      <c r="A76">
        <v>73</v>
      </c>
      <c r="B76" t="s">
        <v>103</v>
      </c>
      <c r="C76">
        <v>46.167144986395698</v>
      </c>
      <c r="D76">
        <v>98.774453650979098</v>
      </c>
      <c r="E76">
        <v>42.4450869672186</v>
      </c>
      <c r="F76">
        <v>81.419228327339496</v>
      </c>
      <c r="G76">
        <v>9.5798145507333299</v>
      </c>
      <c r="H76">
        <v>4.9475305654435999</v>
      </c>
      <c r="I76">
        <v>54.635867865836197</v>
      </c>
      <c r="J76">
        <v>118.793084740479</v>
      </c>
      <c r="K76">
        <v>57.662786414940499</v>
      </c>
      <c r="L76">
        <v>21.606486829355099</v>
      </c>
      <c r="M76">
        <v>194.37282425606</v>
      </c>
    </row>
    <row r="77" spans="1:15">
      <c r="A77">
        <v>74</v>
      </c>
      <c r="B77" t="s">
        <v>105</v>
      </c>
      <c r="C77">
        <v>47.926557324739001</v>
      </c>
      <c r="D77">
        <v>98.660569595788502</v>
      </c>
      <c r="E77">
        <v>42.410575181797697</v>
      </c>
      <c r="F77">
        <v>81.365068919017403</v>
      </c>
      <c r="G77">
        <v>9.8292549776467695</v>
      </c>
      <c r="H77">
        <v>5.2279701365769</v>
      </c>
      <c r="I77">
        <v>54.848707798089201</v>
      </c>
      <c r="J77">
        <v>138.93378706845601</v>
      </c>
      <c r="K77">
        <v>53.979507550603103</v>
      </c>
      <c r="L77">
        <v>31.7038255164967</v>
      </c>
      <c r="M77">
        <v>181.04844001839399</v>
      </c>
    </row>
    <row r="78" spans="1:15">
      <c r="A78">
        <v>75</v>
      </c>
      <c r="B78" t="s">
        <v>179</v>
      </c>
      <c r="C78">
        <v>48.424517609149298</v>
      </c>
      <c r="D78">
        <v>99.475424241576505</v>
      </c>
      <c r="E78">
        <v>50.0669249291374</v>
      </c>
      <c r="F78">
        <v>81.453970834179501</v>
      </c>
      <c r="G78">
        <v>10.032372714853601</v>
      </c>
      <c r="H78">
        <v>4.9520701421561002</v>
      </c>
      <c r="I78">
        <v>51.853217235244998</v>
      </c>
      <c r="J78">
        <v>123.311362655303</v>
      </c>
      <c r="K78">
        <v>50.201394323811897</v>
      </c>
      <c r="L78">
        <v>37.042371958052698</v>
      </c>
      <c r="M78">
        <v>188.906822996008</v>
      </c>
    </row>
    <row r="79" spans="1:15">
      <c r="A79">
        <v>76</v>
      </c>
      <c r="B79" t="s">
        <v>180</v>
      </c>
      <c r="C79">
        <v>44.350059261574003</v>
      </c>
      <c r="D79">
        <v>99.144671510842997</v>
      </c>
      <c r="E79">
        <v>51.0084703756594</v>
      </c>
      <c r="F79">
        <v>81.143473462957502</v>
      </c>
      <c r="G79">
        <v>10.0537882024448</v>
      </c>
      <c r="H79">
        <v>5.4363965458827002</v>
      </c>
      <c r="I79">
        <v>56.626639195198699</v>
      </c>
      <c r="J79">
        <v>119.56384388432301</v>
      </c>
      <c r="K79">
        <v>54.057461617366997</v>
      </c>
      <c r="L79">
        <v>45.202554021685998</v>
      </c>
      <c r="M79">
        <v>184.153971485357</v>
      </c>
    </row>
    <row r="80" spans="1:15">
      <c r="A80">
        <v>77</v>
      </c>
      <c r="B80" t="s">
        <v>181</v>
      </c>
      <c r="C80">
        <v>48.304483508657597</v>
      </c>
      <c r="D80">
        <v>98.452158531487598</v>
      </c>
      <c r="E80">
        <v>46.446801351923497</v>
      </c>
      <c r="F80">
        <v>80.847646390393706</v>
      </c>
      <c r="G80">
        <v>10.728510551505099</v>
      </c>
      <c r="H80">
        <v>5.6428050614479197</v>
      </c>
      <c r="I80">
        <v>53.181630818916801</v>
      </c>
      <c r="J80">
        <v>142.002597011002</v>
      </c>
      <c r="K80">
        <v>67.5632204048744</v>
      </c>
      <c r="L80">
        <v>30.489216986244799</v>
      </c>
      <c r="M80">
        <v>237.80055066181799</v>
      </c>
    </row>
    <row r="81" spans="1:13">
      <c r="A81">
        <v>78</v>
      </c>
      <c r="B81" t="s">
        <v>182</v>
      </c>
      <c r="C81">
        <v>41.475012591295901</v>
      </c>
      <c r="D81">
        <v>98.089481360082999</v>
      </c>
      <c r="E81">
        <v>48.418640372900697</v>
      </c>
      <c r="F81">
        <v>80.912764370751205</v>
      </c>
      <c r="G81">
        <v>10.3616003918827</v>
      </c>
      <c r="H81">
        <v>5.3898934000890701</v>
      </c>
      <c r="I81">
        <v>55.476479158747601</v>
      </c>
      <c r="J81">
        <v>133.40823732293299</v>
      </c>
      <c r="K81">
        <v>64.770015362871305</v>
      </c>
      <c r="L81">
        <v>34.854312008884399</v>
      </c>
      <c r="M81">
        <v>213.116610073706</v>
      </c>
    </row>
    <row r="82" spans="1:13">
      <c r="A82">
        <v>79</v>
      </c>
      <c r="B82" t="s">
        <v>183</v>
      </c>
      <c r="C82">
        <v>43.465546159792702</v>
      </c>
      <c r="D82">
        <v>97.842552325369496</v>
      </c>
      <c r="E82">
        <v>43.492633705361698</v>
      </c>
      <c r="F82">
        <v>80.531326651598604</v>
      </c>
      <c r="G82">
        <v>10.4947180512918</v>
      </c>
      <c r="H82">
        <v>5.3637106755947901</v>
      </c>
      <c r="I82">
        <v>54.055363350107903</v>
      </c>
      <c r="J82">
        <v>137.409318951101</v>
      </c>
      <c r="K82">
        <v>57.458216688971198</v>
      </c>
      <c r="L82">
        <v>30.789189920509401</v>
      </c>
      <c r="M82">
        <v>203.788215306788</v>
      </c>
    </row>
    <row r="83" spans="1:13">
      <c r="A83">
        <v>80</v>
      </c>
      <c r="B83" t="s">
        <v>184</v>
      </c>
      <c r="C83">
        <v>44.446331855760299</v>
      </c>
      <c r="D83">
        <v>98.302121208285399</v>
      </c>
      <c r="E83">
        <v>48.627284620967004</v>
      </c>
      <c r="F83">
        <v>81.266292621308395</v>
      </c>
      <c r="G83">
        <v>10.286687559008</v>
      </c>
      <c r="H83">
        <v>5.40644953914427</v>
      </c>
      <c r="I83">
        <v>56.349179485983797</v>
      </c>
      <c r="J83">
        <v>112.39197913849701</v>
      </c>
      <c r="K83">
        <v>56.688151348498003</v>
      </c>
      <c r="L83">
        <v>51.162983926350002</v>
      </c>
      <c r="M83">
        <v>211.73179478188399</v>
      </c>
    </row>
    <row r="84" spans="1:13">
      <c r="A84">
        <v>81</v>
      </c>
      <c r="B84" t="s">
        <v>185</v>
      </c>
      <c r="C84">
        <v>45.174944681760699</v>
      </c>
      <c r="D84">
        <v>98.905685672173306</v>
      </c>
      <c r="E84">
        <v>47.264972171624898</v>
      </c>
      <c r="F84">
        <v>80.629427753979698</v>
      </c>
      <c r="G84">
        <v>10.5275270863297</v>
      </c>
      <c r="H84">
        <v>5.3897763274325099</v>
      </c>
      <c r="I84">
        <v>53.339415054406302</v>
      </c>
      <c r="J84">
        <v>127.27369874844</v>
      </c>
      <c r="K84">
        <v>57.013725163191602</v>
      </c>
      <c r="L84">
        <v>28.378982252060599</v>
      </c>
      <c r="M84">
        <v>206.87077282881799</v>
      </c>
    </row>
    <row r="85" spans="1:13">
      <c r="A85">
        <v>82</v>
      </c>
      <c r="B85" t="s">
        <v>186</v>
      </c>
      <c r="C85">
        <v>48.4535704098856</v>
      </c>
      <c r="D85">
        <v>99.162856958751107</v>
      </c>
      <c r="E85">
        <v>47.1286863821095</v>
      </c>
      <c r="F85">
        <v>81.020166224654403</v>
      </c>
      <c r="G85">
        <v>10.4453185164296</v>
      </c>
      <c r="H85">
        <v>5.5149657547205297</v>
      </c>
      <c r="I85">
        <v>55.428097870777101</v>
      </c>
      <c r="J85">
        <v>133.96538241070201</v>
      </c>
      <c r="K85">
        <v>57.7322713316033</v>
      </c>
      <c r="L85">
        <v>75.807011078230104</v>
      </c>
      <c r="M85">
        <v>206.86198625482001</v>
      </c>
    </row>
    <row r="86" spans="1:13">
      <c r="A86">
        <v>83</v>
      </c>
      <c r="B86" t="s">
        <v>187</v>
      </c>
      <c r="C86">
        <v>39.757904398610499</v>
      </c>
      <c r="D86">
        <v>95.314742344082504</v>
      </c>
      <c r="E86">
        <v>46.473758806983497</v>
      </c>
      <c r="F86">
        <v>81.535415784901105</v>
      </c>
      <c r="G86">
        <v>10.0122617419921</v>
      </c>
      <c r="H86">
        <v>5.5568025449457803</v>
      </c>
      <c r="I86">
        <v>57.635846164328299</v>
      </c>
      <c r="J86">
        <v>136.736799640882</v>
      </c>
      <c r="K86">
        <v>95.802329223873102</v>
      </c>
      <c r="L86">
        <v>87.437052654165399</v>
      </c>
      <c r="M86">
        <v>215.95280012065101</v>
      </c>
    </row>
    <row r="87" spans="1:13">
      <c r="A87">
        <v>84</v>
      </c>
      <c r="B87" t="s">
        <v>188</v>
      </c>
      <c r="C87">
        <v>45.143593754890802</v>
      </c>
      <c r="D87">
        <v>98.797875604954498</v>
      </c>
      <c r="E87">
        <v>52.800603067558797</v>
      </c>
      <c r="F87">
        <v>81.358204041793002</v>
      </c>
      <c r="G87">
        <v>10.3038395599047</v>
      </c>
      <c r="H87">
        <v>5.1789343776075496</v>
      </c>
      <c r="I87">
        <v>52.292863272420099</v>
      </c>
      <c r="J87">
        <v>163.66008176663101</v>
      </c>
      <c r="K87">
        <v>69.7494429434023</v>
      </c>
      <c r="L87">
        <v>54.550099161647303</v>
      </c>
      <c r="M87">
        <v>151.69954593505801</v>
      </c>
    </row>
    <row r="88" spans="1:13">
      <c r="A88">
        <v>85</v>
      </c>
      <c r="B88" t="s">
        <v>189</v>
      </c>
      <c r="C88">
        <v>43.462936064743097</v>
      </c>
      <c r="D88">
        <v>98.070141243660203</v>
      </c>
      <c r="E88">
        <v>47.493369427730997</v>
      </c>
      <c r="F88">
        <v>81.809543807512895</v>
      </c>
      <c r="G88">
        <v>9.2852104360683398</v>
      </c>
      <c r="H88">
        <v>4.8580533086114404</v>
      </c>
      <c r="I88">
        <v>55.011330334021601</v>
      </c>
      <c r="J88">
        <v>133.978830969059</v>
      </c>
      <c r="K88">
        <v>61.717126151137698</v>
      </c>
      <c r="L88">
        <v>23.024572460832399</v>
      </c>
      <c r="M88">
        <v>180.04885995803201</v>
      </c>
    </row>
    <row r="89" spans="1:13">
      <c r="A89">
        <v>86</v>
      </c>
      <c r="B89" t="s">
        <v>190</v>
      </c>
      <c r="C89">
        <v>42.833306049172997</v>
      </c>
      <c r="D89">
        <v>98.801978087261304</v>
      </c>
      <c r="E89">
        <v>49.543771001204199</v>
      </c>
      <c r="F89">
        <v>81.118265680311495</v>
      </c>
      <c r="G89">
        <v>10.0885959531317</v>
      </c>
      <c r="H89">
        <v>5.1388803777285004</v>
      </c>
      <c r="I89">
        <v>53.694646766397597</v>
      </c>
      <c r="J89">
        <v>125.564933568006</v>
      </c>
      <c r="K89">
        <v>61.204164923960803</v>
      </c>
      <c r="L89">
        <v>61.355724742369802</v>
      </c>
      <c r="M89">
        <v>161.56348239830101</v>
      </c>
    </row>
  </sheetData>
  <autoFilter ref="A3:O3" xr:uid="{5D586A94-C1EC-4BFE-B55B-60671B59C6F9}">
    <sortState xmlns:xlrd2="http://schemas.microsoft.com/office/spreadsheetml/2017/richdata2" ref="A4:O89">
      <sortCondition ref="N3"/>
    </sortState>
  </autoFilter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RegBLUEs</vt:lpstr>
      <vt:lpstr>mstrBLUPs</vt:lpstr>
      <vt:lpstr>mstrBLUP(non-additive)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Sorrells</dc:creator>
  <cp:lastModifiedBy>Siim Sepp</cp:lastModifiedBy>
  <dcterms:created xsi:type="dcterms:W3CDTF">2024-06-06T17:54:40Z</dcterms:created>
  <dcterms:modified xsi:type="dcterms:W3CDTF">2024-08-28T16:40:20Z</dcterms:modified>
</cp:coreProperties>
</file>